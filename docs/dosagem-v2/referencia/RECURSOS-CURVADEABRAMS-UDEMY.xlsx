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trlProps/ctrlProp1.xml" ContentType="application/vnd.ms-excel.controlproperties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trlProps/ctrlProp2.xml" ContentType="application/vnd.ms-excel.controlproperties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0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CONCREVIT\Laboratorio - RJ\projeto\PROJETO AULA\Recurso para Dosagem\"/>
    </mc:Choice>
  </mc:AlternateContent>
  <xr:revisionPtr revIDLastSave="0" documentId="13_ncr:1_{9A375CE7-011E-4C62-9596-12DF4F2F2CC0}" xr6:coauthVersionLast="47" xr6:coauthVersionMax="47" xr10:uidLastSave="{00000000-0000-0000-0000-000000000000}"/>
  <bookViews>
    <workbookView xWindow="-120" yWindow="-120" windowWidth="29040" windowHeight="15840" activeTab="1" xr2:uid="{D55D63CD-7666-4891-864F-EB8AE9574718}"/>
  </bookViews>
  <sheets>
    <sheet name="Curva de abrams 1" sheetId="1" r:id="rId1"/>
    <sheet name="Curva de abrams 2" sheetId="2" r:id="rId2"/>
    <sheet name="AJUSTE DE ÁGUA" sheetId="3" r:id="rId3"/>
  </sheets>
  <externalReferences>
    <externalReference r:id="rId4"/>
    <externalReference r:id="rId5"/>
  </externalReferences>
  <definedNames>
    <definedName name="_xlnm.Print_Area" localSheetId="0">'Curva de abrams 1'!$A$1:$S$34</definedName>
    <definedName name="_xlnm.Print_Area" localSheetId="1">'Curva de abrams 2'!$A$1:$J$29</definedName>
    <definedName name="cvv">'[1]comparativo varejo'!$A$2</definedName>
    <definedName name="frv">'[1]comparativo varejo'!$C$2</definedName>
    <definedName name="sdv">'[1]comparativo varejo'!$B$2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6" i="2" l="1"/>
  <c r="F7" i="2"/>
  <c r="F8" i="2"/>
  <c r="F9" i="2"/>
  <c r="F5" i="2"/>
  <c r="D6" i="2"/>
  <c r="D7" i="2"/>
  <c r="D8" i="2"/>
  <c r="D9" i="2"/>
  <c r="D5" i="2"/>
  <c r="E6" i="2"/>
  <c r="E7" i="2"/>
  <c r="E8" i="2"/>
  <c r="E9" i="2"/>
  <c r="E5" i="2"/>
  <c r="I8" i="1"/>
  <c r="E23" i="2"/>
  <c r="J5" i="3"/>
  <c r="E6" i="1"/>
  <c r="F7" i="1"/>
  <c r="F8" i="1"/>
  <c r="F9" i="1"/>
  <c r="F10" i="1"/>
  <c r="F6" i="1"/>
  <c r="E7" i="1"/>
  <c r="E8" i="1"/>
  <c r="E9" i="1"/>
  <c r="E10" i="1"/>
  <c r="D7" i="1"/>
  <c r="D8" i="1"/>
  <c r="D9" i="1"/>
  <c r="D10" i="1"/>
  <c r="D6" i="1"/>
  <c r="J14" i="3"/>
  <c r="I14" i="3"/>
  <c r="J13" i="3"/>
  <c r="I13" i="3"/>
  <c r="H13" i="3"/>
  <c r="J12" i="3"/>
  <c r="I12" i="3"/>
  <c r="H12" i="3"/>
  <c r="J11" i="3"/>
  <c r="I11" i="3"/>
  <c r="H11" i="3"/>
  <c r="J10" i="3"/>
  <c r="I10" i="3"/>
  <c r="H10" i="3"/>
  <c r="J9" i="3"/>
  <c r="I9" i="3"/>
  <c r="H9" i="3"/>
  <c r="J8" i="3"/>
  <c r="I8" i="3"/>
  <c r="H8" i="3"/>
  <c r="J7" i="3"/>
  <c r="I7" i="3"/>
  <c r="H7" i="3"/>
  <c r="J6" i="3"/>
  <c r="I6" i="3"/>
  <c r="H6" i="3"/>
  <c r="I5" i="3"/>
  <c r="D25" i="2"/>
  <c r="D26" i="2"/>
  <c r="D27" i="2"/>
  <c r="D28" i="2"/>
  <c r="D23" i="2"/>
  <c r="D24" i="2"/>
  <c r="D29" i="1"/>
  <c r="D28" i="1"/>
  <c r="D27" i="1"/>
  <c r="D26" i="1"/>
  <c r="D25" i="1"/>
  <c r="D24" i="1"/>
  <c r="F23" i="2" l="1"/>
  <c r="G23" i="2" s="1"/>
  <c r="E24" i="2"/>
  <c r="F24" i="2" s="1"/>
  <c r="E25" i="2"/>
  <c r="F25" i="2" s="1"/>
  <c r="E26" i="2"/>
  <c r="F26" i="2" s="1"/>
  <c r="E27" i="2"/>
  <c r="F27" i="2" s="1"/>
  <c r="E28" i="2"/>
  <c r="L29" i="2"/>
  <c r="I6" i="2"/>
  <c r="E24" i="1"/>
  <c r="F24" i="1" s="1"/>
  <c r="G24" i="1" s="1"/>
  <c r="E25" i="1"/>
  <c r="F25" i="1" s="1"/>
  <c r="G25" i="1" s="1"/>
  <c r="E26" i="1"/>
  <c r="F26" i="1" s="1"/>
  <c r="G26" i="1" s="1"/>
  <c r="E28" i="1"/>
  <c r="F28" i="1" s="1"/>
  <c r="G28" i="1" s="1"/>
  <c r="E29" i="1"/>
  <c r="G29" i="1" s="1"/>
  <c r="L30" i="1"/>
  <c r="E27" i="1"/>
  <c r="F27" i="1" s="1"/>
  <c r="G27" i="1" s="1"/>
  <c r="I7" i="1"/>
  <c r="G28" i="2" l="1"/>
  <c r="G27" i="2"/>
  <c r="G26" i="2"/>
  <c r="G25" i="2"/>
  <c r="G24" i="2"/>
</calcChain>
</file>

<file path=xl/sharedStrings.xml><?xml version="1.0" encoding="utf-8"?>
<sst xmlns="http://schemas.openxmlformats.org/spreadsheetml/2006/main" count="53" uniqueCount="31">
  <si>
    <t>A/C</t>
  </si>
  <si>
    <t>ÁGUA</t>
  </si>
  <si>
    <t>R 28</t>
  </si>
  <si>
    <r>
      <t>Coeficientes:   y = A . x</t>
    </r>
    <r>
      <rPr>
        <vertAlign val="superscript"/>
        <sz val="8"/>
        <rFont val="Arial"/>
        <family val="2"/>
      </rPr>
      <t xml:space="preserve"> B</t>
    </r>
  </si>
  <si>
    <t>A=</t>
  </si>
  <si>
    <t>B=</t>
  </si>
  <si>
    <t xml:space="preserve"> </t>
  </si>
  <si>
    <t>FCK</t>
  </si>
  <si>
    <t>FC28</t>
  </si>
  <si>
    <t>FATOR A/C</t>
  </si>
  <si>
    <t>CIMENTO</t>
  </si>
  <si>
    <r>
      <t>Coeficientes:   y = A . x</t>
    </r>
    <r>
      <rPr>
        <vertAlign val="superscript"/>
        <sz val="8"/>
        <color theme="1"/>
        <rFont val="Arial"/>
        <family val="2"/>
      </rPr>
      <t xml:space="preserve"> B</t>
    </r>
  </si>
  <si>
    <t>-</t>
  </si>
  <si>
    <t>ESTUDO DE ADITIVO</t>
  </si>
  <si>
    <t>ar</t>
  </si>
  <si>
    <t>volume</t>
  </si>
  <si>
    <t>descrição</t>
  </si>
  <si>
    <t>agua inicial</t>
  </si>
  <si>
    <t>consumo cimento</t>
  </si>
  <si>
    <t>ajuste água</t>
  </si>
  <si>
    <t>água final</t>
  </si>
  <si>
    <t>a/c
final</t>
  </si>
  <si>
    <t>consumo final</t>
  </si>
  <si>
    <t>abat final</t>
  </si>
  <si>
    <t>R1</t>
  </si>
  <si>
    <t>R3</t>
  </si>
  <si>
    <t>R7</t>
  </si>
  <si>
    <t>R28</t>
  </si>
  <si>
    <t>CURVA DE ABRAMS</t>
  </si>
  <si>
    <t>CPV ARI (fornecedor )  + agregados v brita + pó  + areia nat</t>
  </si>
  <si>
    <t>CPV ARI (fornecedor 2) + agregados v brita + pó  + areia nat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</si>
</sst>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164" formatCode="0.000"/>
    <numFmt numFmtId="165" formatCode="0.0"/>
    <numFmt numFmtId="166" formatCode="&quot;R$ &quot;0.00"/>
    <numFmt numFmtId="167" formatCode="&quot;R$&quot;\ #,##0.000\ &quot;/ kg&quot;"/>
    <numFmt numFmtId="168" formatCode="&quot;R$&quot;\ #,##0"/>
    <numFmt numFmtId="169" formatCode="&quot;R$&quot;\ #,##0.0"/>
    <numFmt numFmtId="170" formatCode="&quot;R$&quot;\ #,##0.00"/>
    <numFmt numFmtId="171" formatCode="0.0%"/>
  </numFmts>
  <fonts count="30" x14ac:knownFonts="1">
    <font>
      <sz val="11"/>
      <color theme="1"/>
      <name val="Aptos Narrow"/>
      <family val="2"/>
      <scheme val="minor"/>
    </font>
    <font>
      <sz val="11"/>
      <color rgb="FFFF0000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rgb="FF000000"/>
      <name val="Calibri"/>
      <family val="2"/>
    </font>
    <font>
      <b/>
      <sz val="14"/>
      <color theme="1"/>
      <name val="Arial"/>
      <family val="2"/>
    </font>
    <font>
      <sz val="10"/>
      <color theme="1"/>
      <name val="Arial"/>
      <family val="2"/>
    </font>
    <font>
      <sz val="11"/>
      <color theme="1"/>
      <name val="Arial"/>
      <family val="2"/>
    </font>
    <font>
      <b/>
      <sz val="10"/>
      <color theme="0" tint="-0.499984740745262"/>
      <name val="Arial"/>
      <family val="2"/>
    </font>
    <font>
      <b/>
      <sz val="10"/>
      <color theme="3"/>
      <name val="Arial"/>
      <family val="2"/>
    </font>
    <font>
      <b/>
      <sz val="10"/>
      <color theme="1"/>
      <name val="Arial"/>
      <family val="2"/>
    </font>
    <font>
      <b/>
      <sz val="10"/>
      <color rgb="FF00B050"/>
      <name val="Arial"/>
      <family val="2"/>
    </font>
    <font>
      <sz val="10"/>
      <color theme="0" tint="-0.499984740745262"/>
      <name val="Arial"/>
      <family val="2"/>
    </font>
    <font>
      <sz val="10"/>
      <color theme="3"/>
      <name val="Arial"/>
      <family val="2"/>
    </font>
    <font>
      <sz val="8"/>
      <name val="Arial"/>
      <family val="2"/>
    </font>
    <font>
      <vertAlign val="superscript"/>
      <sz val="8"/>
      <name val="Arial"/>
      <family val="2"/>
    </font>
    <font>
      <sz val="10"/>
      <color rgb="FF00B050"/>
      <name val="Arial"/>
      <family val="2"/>
    </font>
    <font>
      <sz val="10"/>
      <color rgb="FFC00000"/>
      <name val="Arial"/>
      <family val="2"/>
    </font>
    <font>
      <sz val="10"/>
      <color rgb="FFFF0000"/>
      <name val="Arial"/>
      <family val="2"/>
    </font>
    <font>
      <sz val="10"/>
      <color rgb="FF0070C0"/>
      <name val="Arial"/>
      <family val="2"/>
    </font>
    <font>
      <i/>
      <sz val="10"/>
      <color rgb="FF00B050"/>
      <name val="Arial"/>
      <family val="2"/>
    </font>
    <font>
      <b/>
      <sz val="10"/>
      <color rgb="FFFF0000"/>
      <name val="Arial"/>
      <family val="2"/>
    </font>
    <font>
      <b/>
      <sz val="10"/>
      <color rgb="FF0070C0"/>
      <name val="Arial"/>
      <family val="2"/>
    </font>
    <font>
      <b/>
      <sz val="10"/>
      <color rgb="FFC00000"/>
      <name val="Arial"/>
      <family val="2"/>
    </font>
    <font>
      <sz val="10"/>
      <color theme="3" tint="0.39997558519241921"/>
      <name val="Arial"/>
      <family val="2"/>
    </font>
    <font>
      <b/>
      <sz val="10"/>
      <name val="Arial"/>
      <family val="2"/>
    </font>
    <font>
      <sz val="9"/>
      <color theme="1"/>
      <name val="Arial"/>
      <family val="2"/>
    </font>
    <font>
      <sz val="8"/>
      <color theme="1"/>
      <name val="Arial"/>
      <family val="2"/>
    </font>
    <font>
      <vertAlign val="superscript"/>
      <sz val="8"/>
      <color theme="1"/>
      <name val="Arial"/>
      <family val="2"/>
    </font>
    <font>
      <i/>
      <sz val="10"/>
      <color theme="1"/>
      <name val="Arial"/>
      <family val="2"/>
    </font>
    <font>
      <b/>
      <sz val="12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22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auto="1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127">
    <xf numFmtId="0" fontId="0" fillId="0" borderId="0" xfId="0"/>
    <xf numFmtId="0" fontId="5" fillId="0" borderId="0" xfId="0" applyFont="1" applyAlignment="1">
      <alignment vertical="center"/>
    </xf>
    <xf numFmtId="14" fontId="6" fillId="0" borderId="2" xfId="0" applyNumberFormat="1" applyFont="1" applyBorder="1" applyAlignment="1" applyProtection="1">
      <alignment vertical="center"/>
      <protection locked="0"/>
    </xf>
    <xf numFmtId="0" fontId="7" fillId="0" borderId="1" xfId="0" applyFont="1" applyBorder="1" applyAlignment="1">
      <alignment horizontal="center" vertical="center"/>
    </xf>
    <xf numFmtId="0" fontId="8" fillId="0" borderId="1" xfId="0" applyFont="1" applyBorder="1" applyAlignment="1">
      <alignment horizontal="center" vertical="center"/>
    </xf>
    <xf numFmtId="0" fontId="9" fillId="0" borderId="1" xfId="0" applyFont="1" applyBorder="1" applyAlignment="1" applyProtection="1">
      <alignment horizontal="center" vertical="center"/>
      <protection locked="0"/>
    </xf>
    <xf numFmtId="0" fontId="10" fillId="0" borderId="0" xfId="0" applyFont="1" applyAlignment="1">
      <alignment vertical="center" wrapText="1"/>
    </xf>
    <xf numFmtId="164" fontId="11" fillId="0" borderId="0" xfId="0" applyNumberFormat="1" applyFont="1" applyAlignment="1" applyProtection="1">
      <alignment horizontal="center" vertical="center"/>
      <protection locked="0"/>
    </xf>
    <xf numFmtId="1" fontId="12" fillId="0" borderId="0" xfId="0" applyNumberFormat="1" applyFont="1" applyAlignment="1" applyProtection="1">
      <alignment horizontal="center" vertical="center"/>
      <protection locked="0"/>
    </xf>
    <xf numFmtId="165" fontId="5" fillId="0" borderId="0" xfId="0" applyNumberFormat="1" applyFont="1" applyAlignment="1" applyProtection="1">
      <alignment horizontal="center" vertical="center"/>
      <protection locked="0"/>
    </xf>
    <xf numFmtId="0" fontId="15" fillId="0" borderId="0" xfId="0" applyFont="1" applyAlignment="1">
      <alignment horizontal="center" vertical="center"/>
    </xf>
    <xf numFmtId="0" fontId="16" fillId="0" borderId="0" xfId="0" applyFont="1" applyAlignment="1">
      <alignment horizontal="center" vertical="center"/>
    </xf>
    <xf numFmtId="0" fontId="12" fillId="0" borderId="0" xfId="0" applyFont="1" applyAlignment="1">
      <alignment horizontal="center" vertical="center"/>
    </xf>
    <xf numFmtId="0" fontId="17" fillId="0" borderId="0" xfId="0" applyFont="1" applyAlignment="1">
      <alignment horizontal="center" vertical="center"/>
    </xf>
    <xf numFmtId="0" fontId="5" fillId="0" borderId="0" xfId="0" applyFont="1" applyAlignment="1">
      <alignment horizontal="right" vertical="center"/>
    </xf>
    <xf numFmtId="0" fontId="15" fillId="2" borderId="0" xfId="0" applyFont="1" applyFill="1" applyAlignment="1" applyProtection="1">
      <alignment horizontal="center" vertical="center"/>
      <protection locked="0"/>
    </xf>
    <xf numFmtId="0" fontId="17" fillId="2" borderId="0" xfId="0" applyFont="1" applyFill="1" applyAlignment="1" applyProtection="1">
      <alignment horizontal="center" vertical="center"/>
      <protection locked="0"/>
    </xf>
    <xf numFmtId="0" fontId="18" fillId="0" borderId="0" xfId="0" applyFont="1" applyAlignment="1">
      <alignment horizontal="center" vertical="center"/>
    </xf>
    <xf numFmtId="0" fontId="18" fillId="2" borderId="0" xfId="0" applyFont="1" applyFill="1" applyAlignment="1" applyProtection="1">
      <alignment horizontal="center" vertical="center"/>
      <protection locked="0"/>
    </xf>
    <xf numFmtId="167" fontId="19" fillId="0" borderId="0" xfId="0" applyNumberFormat="1" applyFont="1" applyAlignment="1" applyProtection="1">
      <alignment horizontal="center" vertical="center"/>
      <protection locked="0"/>
    </xf>
    <xf numFmtId="0" fontId="12" fillId="2" borderId="0" xfId="0" applyFont="1" applyFill="1" applyAlignment="1" applyProtection="1">
      <alignment horizontal="center" vertical="center"/>
      <protection locked="0"/>
    </xf>
    <xf numFmtId="0" fontId="20" fillId="0" borderId="0" xfId="0" applyFont="1" applyAlignment="1">
      <alignment vertical="center" wrapText="1"/>
    </xf>
    <xf numFmtId="0" fontId="20" fillId="0" borderId="0" xfId="0" applyFont="1" applyAlignment="1" applyProtection="1">
      <alignment vertical="center" wrapText="1"/>
      <protection locked="0"/>
    </xf>
    <xf numFmtId="0" fontId="5" fillId="0" borderId="0" xfId="0" applyFont="1" applyAlignment="1">
      <alignment horizontal="center" vertical="center"/>
    </xf>
    <xf numFmtId="0" fontId="12" fillId="0" borderId="0" xfId="0" applyFont="1" applyAlignment="1">
      <alignment horizontal="left" vertical="center"/>
    </xf>
    <xf numFmtId="0" fontId="21" fillId="0" borderId="0" xfId="0" applyFont="1" applyAlignment="1" applyProtection="1">
      <alignment vertical="center" wrapText="1"/>
      <protection locked="0"/>
    </xf>
    <xf numFmtId="0" fontId="22" fillId="0" borderId="0" xfId="0" applyFont="1" applyAlignment="1">
      <alignment vertical="center" wrapText="1"/>
    </xf>
    <xf numFmtId="0" fontId="10" fillId="0" borderId="0" xfId="0" applyFont="1" applyAlignment="1" applyProtection="1">
      <alignment vertical="center" wrapText="1"/>
      <protection locked="0"/>
    </xf>
    <xf numFmtId="0" fontId="9" fillId="0" borderId="0" xfId="0" applyFont="1" applyAlignment="1">
      <alignment vertical="center"/>
    </xf>
    <xf numFmtId="0" fontId="9" fillId="0" borderId="3" xfId="0" applyFont="1" applyBorder="1" applyAlignment="1">
      <alignment horizontal="center" vertical="center" wrapText="1"/>
    </xf>
    <xf numFmtId="0" fontId="5" fillId="0" borderId="4" xfId="0" applyFont="1" applyBorder="1" applyAlignment="1">
      <alignment horizontal="center" vertical="center" wrapText="1"/>
    </xf>
    <xf numFmtId="0" fontId="5" fillId="0" borderId="5" xfId="0" applyFont="1" applyBorder="1" applyAlignment="1">
      <alignment horizontal="center" vertical="center"/>
    </xf>
    <xf numFmtId="0" fontId="5" fillId="2" borderId="0" xfId="0" applyFont="1" applyFill="1" applyAlignment="1">
      <alignment horizontal="center" vertical="center"/>
    </xf>
    <xf numFmtId="0" fontId="9" fillId="2" borderId="0" xfId="0" applyFont="1" applyFill="1" applyAlignment="1">
      <alignment horizontal="center" vertical="center"/>
    </xf>
    <xf numFmtId="0" fontId="5" fillId="2" borderId="0" xfId="0" applyFont="1" applyFill="1" applyAlignment="1">
      <alignment vertical="center"/>
    </xf>
    <xf numFmtId="165" fontId="9" fillId="0" borderId="6" xfId="0" applyNumberFormat="1" applyFont="1" applyBorder="1" applyAlignment="1">
      <alignment horizontal="center" vertical="center"/>
    </xf>
    <xf numFmtId="165" fontId="5" fillId="0" borderId="0" xfId="0" applyNumberFormat="1" applyFont="1" applyAlignment="1">
      <alignment horizontal="center" vertical="center"/>
    </xf>
    <xf numFmtId="164" fontId="5" fillId="2" borderId="7" xfId="0" applyNumberFormat="1" applyFont="1" applyFill="1" applyBorder="1" applyAlignment="1">
      <alignment horizontal="center" vertical="center"/>
    </xf>
    <xf numFmtId="0" fontId="23" fillId="2" borderId="7" xfId="0" applyFont="1" applyFill="1" applyBorder="1" applyAlignment="1">
      <alignment horizontal="center" vertical="center"/>
    </xf>
    <xf numFmtId="0" fontId="11" fillId="2" borderId="7" xfId="0" applyFont="1" applyFill="1" applyBorder="1" applyAlignment="1">
      <alignment horizontal="center" vertical="center"/>
    </xf>
    <xf numFmtId="0" fontId="23" fillId="2" borderId="0" xfId="0" applyFont="1" applyFill="1" applyAlignment="1">
      <alignment horizontal="center" vertical="center"/>
    </xf>
    <xf numFmtId="0" fontId="11" fillId="2" borderId="0" xfId="0" applyFont="1" applyFill="1" applyAlignment="1">
      <alignment horizontal="center" vertical="center"/>
    </xf>
    <xf numFmtId="168" fontId="5" fillId="2" borderId="0" xfId="0" applyNumberFormat="1" applyFont="1" applyFill="1" applyAlignment="1">
      <alignment horizontal="center" vertical="center"/>
    </xf>
    <xf numFmtId="169" fontId="5" fillId="2" borderId="0" xfId="0" applyNumberFormat="1" applyFont="1" applyFill="1" applyAlignment="1">
      <alignment horizontal="center" vertical="center"/>
    </xf>
    <xf numFmtId="9" fontId="24" fillId="2" borderId="0" xfId="0" applyNumberFormat="1" applyFont="1" applyFill="1" applyAlignment="1" applyProtection="1">
      <alignment horizontal="center" vertical="center"/>
      <protection locked="0"/>
    </xf>
    <xf numFmtId="170" fontId="5" fillId="0" borderId="0" xfId="0" applyNumberFormat="1" applyFont="1" applyAlignment="1">
      <alignment horizontal="center" vertical="center"/>
    </xf>
    <xf numFmtId="165" fontId="5" fillId="0" borderId="0" xfId="0" applyNumberFormat="1" applyFont="1" applyAlignment="1">
      <alignment vertical="center"/>
    </xf>
    <xf numFmtId="164" fontId="5" fillId="2" borderId="8" xfId="0" applyNumberFormat="1" applyFont="1" applyFill="1" applyBorder="1" applyAlignment="1">
      <alignment horizontal="center" vertical="center"/>
    </xf>
    <xf numFmtId="0" fontId="23" fillId="2" borderId="8" xfId="0" applyFont="1" applyFill="1" applyBorder="1" applyAlignment="1">
      <alignment horizontal="center" vertical="center"/>
    </xf>
    <xf numFmtId="0" fontId="11" fillId="2" borderId="8" xfId="0" applyFont="1" applyFill="1" applyBorder="1" applyAlignment="1">
      <alignment horizontal="center" vertical="center"/>
    </xf>
    <xf numFmtId="165" fontId="23" fillId="2" borderId="0" xfId="0" applyNumberFormat="1" applyFont="1" applyFill="1" applyAlignment="1">
      <alignment horizontal="center" vertical="center"/>
    </xf>
    <xf numFmtId="165" fontId="9" fillId="0" borderId="9" xfId="0" applyNumberFormat="1" applyFont="1" applyBorder="1" applyAlignment="1">
      <alignment horizontal="center" vertical="center"/>
    </xf>
    <xf numFmtId="165" fontId="5" fillId="0" borderId="1" xfId="0" applyNumberFormat="1" applyFont="1" applyBorder="1" applyAlignment="1">
      <alignment horizontal="center" vertical="center"/>
    </xf>
    <xf numFmtId="164" fontId="5" fillId="2" borderId="10" xfId="0" applyNumberFormat="1" applyFont="1" applyFill="1" applyBorder="1" applyAlignment="1">
      <alignment horizontal="center" vertical="center"/>
    </xf>
    <xf numFmtId="0" fontId="23" fillId="2" borderId="10" xfId="0" applyFont="1" applyFill="1" applyBorder="1" applyAlignment="1">
      <alignment horizontal="center" vertical="center"/>
    </xf>
    <xf numFmtId="0" fontId="11" fillId="2" borderId="10" xfId="0" applyFont="1" applyFill="1" applyBorder="1" applyAlignment="1">
      <alignment horizontal="center" vertical="center"/>
    </xf>
    <xf numFmtId="170" fontId="5" fillId="2" borderId="0" xfId="0" applyNumberFormat="1" applyFont="1" applyFill="1" applyAlignment="1">
      <alignment horizontal="center" vertical="center"/>
    </xf>
    <xf numFmtId="9" fontId="9" fillId="2" borderId="0" xfId="0" applyNumberFormat="1" applyFont="1" applyFill="1" applyAlignment="1">
      <alignment horizontal="center" vertical="center"/>
    </xf>
    <xf numFmtId="170" fontId="5" fillId="0" borderId="0" xfId="0" applyNumberFormat="1" applyFont="1" applyAlignment="1">
      <alignment vertical="center"/>
    </xf>
    <xf numFmtId="0" fontId="22" fillId="0" borderId="0" xfId="0" applyFont="1" applyAlignment="1">
      <alignment vertical="center"/>
    </xf>
    <xf numFmtId="170" fontId="22" fillId="0" borderId="0" xfId="0" applyNumberFormat="1" applyFont="1" applyAlignment="1">
      <alignment vertical="center"/>
    </xf>
    <xf numFmtId="0" fontId="25" fillId="0" borderId="0" xfId="0" applyFont="1" applyAlignment="1">
      <alignment vertical="center"/>
    </xf>
    <xf numFmtId="0" fontId="25" fillId="0" borderId="0" xfId="0" applyFont="1" applyAlignment="1">
      <alignment horizontal="center" vertical="center"/>
    </xf>
    <xf numFmtId="14" fontId="5" fillId="0" borderId="1" xfId="0" applyNumberFormat="1" applyFont="1" applyBorder="1" applyAlignment="1">
      <alignment horizontal="left" vertical="center"/>
    </xf>
    <xf numFmtId="14" fontId="5" fillId="0" borderId="0" xfId="0" applyNumberFormat="1" applyFont="1" applyAlignment="1">
      <alignment horizontal="left" vertical="center"/>
    </xf>
    <xf numFmtId="0" fontId="9" fillId="0" borderId="1" xfId="0" applyFont="1" applyBorder="1" applyAlignment="1">
      <alignment horizontal="center" vertical="center"/>
    </xf>
    <xf numFmtId="0" fontId="9" fillId="0" borderId="0" xfId="0" applyFont="1" applyAlignment="1">
      <alignment vertical="center" wrapText="1"/>
    </xf>
    <xf numFmtId="164" fontId="5" fillId="0" borderId="0" xfId="0" applyNumberFormat="1" applyFont="1" applyAlignment="1" applyProtection="1">
      <alignment horizontal="center" vertical="center"/>
      <protection locked="0"/>
    </xf>
    <xf numFmtId="1" fontId="5" fillId="0" borderId="0" xfId="0" applyNumberFormat="1" applyFont="1" applyAlignment="1" applyProtection="1">
      <alignment horizontal="center" vertical="center"/>
      <protection locked="0"/>
    </xf>
    <xf numFmtId="0" fontId="5" fillId="2" borderId="0" xfId="0" applyFont="1" applyFill="1" applyAlignment="1" applyProtection="1">
      <alignment horizontal="center" vertical="center"/>
      <protection locked="0"/>
    </xf>
    <xf numFmtId="167" fontId="28" fillId="0" borderId="0" xfId="0" applyNumberFormat="1" applyFont="1" applyAlignment="1" applyProtection="1">
      <alignment horizontal="center" vertical="center"/>
      <protection locked="0"/>
    </xf>
    <xf numFmtId="0" fontId="9" fillId="0" borderId="0" xfId="0" applyFont="1" applyAlignment="1" applyProtection="1">
      <alignment vertical="center" wrapText="1"/>
      <protection locked="0"/>
    </xf>
    <xf numFmtId="0" fontId="5" fillId="0" borderId="0" xfId="0" applyFont="1" applyAlignment="1">
      <alignment horizontal="left" vertical="center"/>
    </xf>
    <xf numFmtId="0" fontId="5" fillId="2" borderId="7" xfId="0" applyFont="1" applyFill="1" applyBorder="1" applyAlignment="1">
      <alignment horizontal="center" vertical="center"/>
    </xf>
    <xf numFmtId="9" fontId="9" fillId="2" borderId="0" xfId="0" applyNumberFormat="1" applyFont="1" applyFill="1" applyAlignment="1" applyProtection="1">
      <alignment horizontal="center" vertical="center"/>
      <protection locked="0"/>
    </xf>
    <xf numFmtId="0" fontId="5" fillId="2" borderId="8" xfId="0" applyFont="1" applyFill="1" applyBorder="1" applyAlignment="1">
      <alignment horizontal="center" vertical="center"/>
    </xf>
    <xf numFmtId="165" fontId="5" fillId="2" borderId="0" xfId="0" applyNumberFormat="1" applyFont="1" applyFill="1" applyAlignment="1">
      <alignment horizontal="center" vertical="center"/>
    </xf>
    <xf numFmtId="0" fontId="5" fillId="2" borderId="10" xfId="0" applyFont="1" applyFill="1" applyBorder="1" applyAlignment="1">
      <alignment horizontal="center" vertical="center"/>
    </xf>
    <xf numFmtId="170" fontId="9" fillId="0" borderId="0" xfId="0" applyNumberFormat="1" applyFont="1" applyAlignment="1">
      <alignment vertical="center"/>
    </xf>
    <xf numFmtId="0" fontId="0" fillId="2" borderId="0" xfId="0" applyFill="1"/>
    <xf numFmtId="0" fontId="2" fillId="0" borderId="0" xfId="0" applyFont="1" applyAlignment="1">
      <alignment horizontal="center" vertical="center" wrapText="1"/>
    </xf>
    <xf numFmtId="165" fontId="0" fillId="0" borderId="0" xfId="0" applyNumberFormat="1" applyAlignment="1">
      <alignment horizontal="center" vertical="center" wrapText="1"/>
    </xf>
    <xf numFmtId="165" fontId="0" fillId="2" borderId="0" xfId="0" applyNumberFormat="1" applyFill="1" applyAlignment="1">
      <alignment horizontal="center" vertical="center" wrapText="1"/>
    </xf>
    <xf numFmtId="0" fontId="2" fillId="0" borderId="7" xfId="0" applyFont="1" applyBorder="1" applyAlignment="1">
      <alignment horizontal="center" vertical="center" wrapText="1"/>
    </xf>
    <xf numFmtId="0" fontId="2" fillId="0" borderId="11" xfId="0" applyFont="1" applyBorder="1" applyAlignment="1">
      <alignment horizontal="center" vertical="center" wrapText="1"/>
    </xf>
    <xf numFmtId="164" fontId="2" fillId="0" borderId="7" xfId="0" applyNumberFormat="1" applyFont="1" applyBorder="1" applyAlignment="1">
      <alignment horizontal="center" vertical="center" wrapText="1"/>
    </xf>
    <xf numFmtId="171" fontId="0" fillId="0" borderId="12" xfId="0" applyNumberFormat="1" applyBorder="1" applyAlignment="1">
      <alignment horizontal="center" vertical="center" wrapText="1"/>
    </xf>
    <xf numFmtId="0" fontId="0" fillId="0" borderId="13" xfId="0" applyBorder="1" applyAlignment="1">
      <alignment horizontal="center" vertical="center" wrapText="1"/>
    </xf>
    <xf numFmtId="165" fontId="0" fillId="0" borderId="13" xfId="0" applyNumberFormat="1" applyBorder="1" applyAlignment="1">
      <alignment horizontal="center" vertical="center" wrapText="1"/>
    </xf>
    <xf numFmtId="0" fontId="0" fillId="0" borderId="14" xfId="0" applyBorder="1" applyAlignment="1">
      <alignment horizontal="center" vertical="center" wrapText="1"/>
    </xf>
    <xf numFmtId="1" fontId="0" fillId="0" borderId="13" xfId="0" applyNumberFormat="1" applyBorder="1" applyAlignment="1">
      <alignment horizontal="center" vertical="center" wrapText="1"/>
    </xf>
    <xf numFmtId="164" fontId="0" fillId="0" borderId="13" xfId="0" applyNumberFormat="1" applyBorder="1" applyAlignment="1">
      <alignment horizontal="center" vertical="center" wrapText="1"/>
    </xf>
    <xf numFmtId="1" fontId="1" fillId="0" borderId="13" xfId="0" applyNumberFormat="1" applyFont="1" applyBorder="1" applyAlignment="1">
      <alignment horizontal="center" vertical="center" wrapText="1"/>
    </xf>
    <xf numFmtId="164" fontId="1" fillId="0" borderId="13" xfId="0" applyNumberFormat="1" applyFont="1" applyBorder="1" applyAlignment="1">
      <alignment horizontal="center" vertical="center" wrapText="1"/>
    </xf>
    <xf numFmtId="165" fontId="0" fillId="0" borderId="14" xfId="0" applyNumberFormat="1" applyBorder="1" applyAlignment="1">
      <alignment horizontal="center" vertical="center" wrapText="1"/>
    </xf>
    <xf numFmtId="165" fontId="0" fillId="0" borderId="15" xfId="0" applyNumberFormat="1" applyBorder="1" applyAlignment="1">
      <alignment horizontal="center" vertical="center" wrapText="1"/>
    </xf>
    <xf numFmtId="171" fontId="0" fillId="0" borderId="16" xfId="0" applyNumberFormat="1" applyBorder="1" applyAlignment="1">
      <alignment horizontal="center" vertical="center" wrapText="1"/>
    </xf>
    <xf numFmtId="0" fontId="0" fillId="0" borderId="5" xfId="0" applyBorder="1" applyAlignment="1">
      <alignment horizontal="center" vertical="center" wrapText="1"/>
    </xf>
    <xf numFmtId="165" fontId="0" fillId="0" borderId="5" xfId="0" applyNumberFormat="1" applyBorder="1" applyAlignment="1">
      <alignment horizontal="center" vertical="center" wrapText="1"/>
    </xf>
    <xf numFmtId="0" fontId="0" fillId="0" borderId="3" xfId="0" applyBorder="1" applyAlignment="1">
      <alignment horizontal="center" vertical="center" wrapText="1"/>
    </xf>
    <xf numFmtId="1" fontId="0" fillId="0" borderId="5" xfId="0" applyNumberFormat="1" applyBorder="1" applyAlignment="1">
      <alignment horizontal="center" vertical="center" wrapText="1"/>
    </xf>
    <xf numFmtId="164" fontId="0" fillId="0" borderId="5" xfId="0" applyNumberFormat="1" applyBorder="1" applyAlignment="1">
      <alignment horizontal="center" vertical="center" wrapText="1"/>
    </xf>
    <xf numFmtId="1" fontId="1" fillId="0" borderId="5" xfId="0" applyNumberFormat="1" applyFont="1" applyBorder="1" applyAlignment="1">
      <alignment horizontal="center" vertical="center" wrapText="1"/>
    </xf>
    <xf numFmtId="164" fontId="1" fillId="0" borderId="5" xfId="0" applyNumberFormat="1" applyFont="1" applyBorder="1" applyAlignment="1">
      <alignment horizontal="center" vertical="center" wrapText="1"/>
    </xf>
    <xf numFmtId="165" fontId="0" fillId="0" borderId="3" xfId="0" applyNumberFormat="1" applyBorder="1" applyAlignment="1">
      <alignment horizontal="center" vertical="center" wrapText="1"/>
    </xf>
    <xf numFmtId="165" fontId="0" fillId="0" borderId="17" xfId="0" applyNumberFormat="1" applyBorder="1" applyAlignment="1">
      <alignment horizontal="center" vertical="center" wrapText="1"/>
    </xf>
    <xf numFmtId="171" fontId="0" fillId="0" borderId="18" xfId="0" applyNumberFormat="1" applyBorder="1" applyAlignment="1">
      <alignment horizontal="center" vertical="center" wrapText="1"/>
    </xf>
    <xf numFmtId="0" fontId="0" fillId="0" borderId="19" xfId="0" applyBorder="1" applyAlignment="1">
      <alignment horizontal="center" vertical="center" wrapText="1"/>
    </xf>
    <xf numFmtId="165" fontId="0" fillId="0" borderId="19" xfId="0" applyNumberFormat="1" applyBorder="1" applyAlignment="1">
      <alignment horizontal="center" vertical="center" wrapText="1"/>
    </xf>
    <xf numFmtId="0" fontId="0" fillId="0" borderId="20" xfId="0" applyBorder="1" applyAlignment="1">
      <alignment horizontal="center" vertical="center" wrapText="1"/>
    </xf>
    <xf numFmtId="1" fontId="0" fillId="0" borderId="19" xfId="0" applyNumberFormat="1" applyBorder="1" applyAlignment="1">
      <alignment horizontal="center" vertical="center" wrapText="1"/>
    </xf>
    <xf numFmtId="164" fontId="0" fillId="0" borderId="19" xfId="0" applyNumberFormat="1" applyBorder="1" applyAlignment="1">
      <alignment horizontal="center" vertical="center" wrapText="1"/>
    </xf>
    <xf numFmtId="1" fontId="1" fillId="0" borderId="19" xfId="0" applyNumberFormat="1" applyFont="1" applyBorder="1" applyAlignment="1">
      <alignment horizontal="center" vertical="center" wrapText="1"/>
    </xf>
    <xf numFmtId="164" fontId="1" fillId="0" borderId="19" xfId="0" applyNumberFormat="1" applyFont="1" applyBorder="1" applyAlignment="1">
      <alignment horizontal="center" vertical="center" wrapText="1"/>
    </xf>
    <xf numFmtId="165" fontId="0" fillId="0" borderId="20" xfId="0" applyNumberFormat="1" applyBorder="1" applyAlignment="1">
      <alignment horizontal="center" vertical="center" wrapText="1"/>
    </xf>
    <xf numFmtId="165" fontId="0" fillId="0" borderId="21" xfId="0" applyNumberFormat="1" applyBorder="1" applyAlignment="1">
      <alignment horizontal="center" vertical="center" wrapText="1"/>
    </xf>
    <xf numFmtId="14" fontId="6" fillId="0" borderId="0" xfId="0" applyNumberFormat="1" applyFont="1" applyAlignment="1" applyProtection="1">
      <alignment vertical="center"/>
      <protection locked="0"/>
    </xf>
    <xf numFmtId="0" fontId="25" fillId="0" borderId="0" xfId="0" applyFont="1" applyAlignment="1">
      <alignment horizontal="center" vertical="center"/>
    </xf>
    <xf numFmtId="166" fontId="26" fillId="0" borderId="1" xfId="0" applyNumberFormat="1" applyFont="1" applyBorder="1" applyAlignment="1">
      <alignment horizontal="center" vertical="center"/>
    </xf>
    <xf numFmtId="0" fontId="9" fillId="0" borderId="0" xfId="0" applyFont="1" applyAlignment="1" applyProtection="1">
      <alignment horizontal="center" vertical="center" wrapText="1"/>
      <protection locked="0"/>
    </xf>
    <xf numFmtId="0" fontId="5" fillId="2" borderId="0" xfId="0" applyFont="1" applyFill="1" applyAlignment="1">
      <alignment horizontal="center" vertical="center"/>
    </xf>
    <xf numFmtId="0" fontId="4" fillId="0" borderId="0" xfId="0" applyFont="1" applyAlignment="1" applyProtection="1">
      <alignment horizontal="right"/>
      <protection locked="0"/>
    </xf>
    <xf numFmtId="0" fontId="4" fillId="0" borderId="1" xfId="0" applyFont="1" applyBorder="1" applyAlignment="1" applyProtection="1">
      <alignment horizontal="right"/>
      <protection locked="0"/>
    </xf>
    <xf numFmtId="166" fontId="13" fillId="0" borderId="1" xfId="0" applyNumberFormat="1" applyFont="1" applyBorder="1" applyAlignment="1">
      <alignment horizontal="center" vertical="center"/>
    </xf>
    <xf numFmtId="0" fontId="10" fillId="0" borderId="0" xfId="0" applyFont="1" applyAlignment="1" applyProtection="1">
      <alignment horizontal="center" vertical="center" wrapText="1"/>
      <protection locked="0"/>
    </xf>
    <xf numFmtId="0" fontId="29" fillId="0" borderId="0" xfId="0" applyFont="1" applyAlignment="1">
      <alignment horizontal="center"/>
    </xf>
    <xf numFmtId="0" fontId="2" fillId="2" borderId="0" xfId="0" applyFont="1" applyFill="1" applyAlignment="1">
      <alignment horizontal="center" vertical="center" wrapText="1"/>
    </xf>
  </cellXfs>
  <cellStyles count="1">
    <cellStyle name="Normal" xfId="0" builtinId="0"/>
  </cellStyles>
  <dxfs count="19"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ont>
        <color rgb="FF00B05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00B050"/>
      </font>
    </dxf>
    <dxf>
      <font>
        <color rgb="FFC00000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externalLink" Target="externalLinks/externalLink2.xml"/><Relationship Id="rId4" Type="http://schemas.openxmlformats.org/officeDocument/2006/relationships/externalLink" Target="externalLinks/externalLink1.xml"/><Relationship Id="rId9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3"/>
    </mc:Choice>
    <mc:Fallback>
      <c:style val="3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cap="none" spc="0" normalizeH="0" baseline="0">
                <a:solidFill>
                  <a:schemeClr val="dk1">
                    <a:lumMod val="50000"/>
                    <a:lumOff val="50000"/>
                  </a:schemeClr>
                </a:solidFill>
                <a:latin typeface="+mj-lt"/>
                <a:ea typeface="+mj-ea"/>
                <a:cs typeface="+mj-cs"/>
              </a:defRPr>
            </a:pPr>
            <a:r>
              <a:rPr lang="en-US"/>
              <a:t>(CURVAS DE ABRAMS 28 DIAS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cap="none" spc="0" normalizeH="0" baseline="0">
              <a:solidFill>
                <a:schemeClr val="dk1">
                  <a:lumMod val="50000"/>
                  <a:lumOff val="50000"/>
                </a:schemeClr>
              </a:solidFill>
              <a:latin typeface="+mj-lt"/>
              <a:ea typeface="+mj-ea"/>
              <a:cs typeface="+mj-cs"/>
            </a:defRPr>
          </a:pPr>
          <a:endParaRPr lang="pt-BR"/>
        </a:p>
      </c:txPr>
    </c:title>
    <c:autoTitleDeleted val="0"/>
    <c:plotArea>
      <c:layout>
        <c:manualLayout>
          <c:layoutTarget val="inner"/>
          <c:xMode val="edge"/>
          <c:yMode val="edge"/>
          <c:x val="0.10319511074140335"/>
          <c:y val="0.13733719173775871"/>
          <c:w val="0.85807004949272803"/>
          <c:h val="0.76736409293598673"/>
        </c:manualLayout>
      </c:layout>
      <c:scatterChart>
        <c:scatterStyle val="lineMarker"/>
        <c:varyColors val="0"/>
        <c:ser>
          <c:idx val="18"/>
          <c:order val="0"/>
          <c:tx>
            <c:strRef>
              <c:f>'Curva de abrams 1'!$C$6</c:f>
              <c:strCache>
                <c:ptCount val="1"/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none"/>
          </c:marker>
          <c:xVal>
            <c:numRef>
              <c:f>'Curva de abrams 1'!$D$6:$D$11</c:f>
              <c:numCache>
                <c:formatCode>0.000</c:formatCode>
                <c:ptCount val="6"/>
                <c:pt idx="0">
                  <c:v>1</c:v>
                </c:pt>
                <c:pt idx="1">
                  <c:v>0.86399999999999999</c:v>
                </c:pt>
                <c:pt idx="2">
                  <c:v>0.76</c:v>
                </c:pt>
                <c:pt idx="3">
                  <c:v>0.63300000000000001</c:v>
                </c:pt>
                <c:pt idx="4">
                  <c:v>0.54300000000000004</c:v>
                </c:pt>
              </c:numCache>
            </c:numRef>
          </c:xVal>
          <c:yVal>
            <c:numRef>
              <c:f>'Curva de abrams 1'!$F$6:$F$11</c:f>
              <c:numCache>
                <c:formatCode>0.0</c:formatCode>
                <c:ptCount val="6"/>
                <c:pt idx="0">
                  <c:v>18.5</c:v>
                </c:pt>
                <c:pt idx="1">
                  <c:v>24</c:v>
                </c:pt>
                <c:pt idx="2">
                  <c:v>28.1</c:v>
                </c:pt>
                <c:pt idx="3">
                  <c:v>36.1</c:v>
                </c:pt>
                <c:pt idx="4">
                  <c:v>43</c:v>
                </c:pt>
              </c:numCache>
            </c:numRef>
          </c:y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0-415A-4893-AFBF-070E79F9EFA5}"/>
            </c:ext>
          </c:extLst>
        </c:ser>
        <c:ser>
          <c:idx val="21"/>
          <c:order val="1"/>
          <c:tx>
            <c:strRef>
              <c:f>'Curva de abrams 1'!$C$6</c:f>
              <c:strCache>
                <c:ptCount val="1"/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none"/>
          </c:marker>
          <c:xVal>
            <c:numRef>
              <c:f>'Curva de abrams 1'!$D$6:$D$11</c:f>
              <c:numCache>
                <c:formatCode>0.000</c:formatCode>
                <c:ptCount val="6"/>
                <c:pt idx="0">
                  <c:v>1</c:v>
                </c:pt>
                <c:pt idx="1">
                  <c:v>0.86399999999999999</c:v>
                </c:pt>
                <c:pt idx="2">
                  <c:v>0.76</c:v>
                </c:pt>
                <c:pt idx="3">
                  <c:v>0.63300000000000001</c:v>
                </c:pt>
                <c:pt idx="4">
                  <c:v>0.54300000000000004</c:v>
                </c:pt>
              </c:numCache>
            </c:numRef>
          </c:xVal>
          <c:yVal>
            <c:numRef>
              <c:f>'Curva de abrams 1'!$F$6:$F$11</c:f>
              <c:numCache>
                <c:formatCode>0.0</c:formatCode>
                <c:ptCount val="6"/>
                <c:pt idx="0">
                  <c:v>18.5</c:v>
                </c:pt>
                <c:pt idx="1">
                  <c:v>24</c:v>
                </c:pt>
                <c:pt idx="2">
                  <c:v>28.1</c:v>
                </c:pt>
                <c:pt idx="3">
                  <c:v>36.1</c:v>
                </c:pt>
                <c:pt idx="4">
                  <c:v>43</c:v>
                </c:pt>
              </c:numCache>
            </c:numRef>
          </c:y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1-415A-4893-AFBF-070E79F9EFA5}"/>
            </c:ext>
          </c:extLst>
        </c:ser>
        <c:ser>
          <c:idx val="24"/>
          <c:order val="2"/>
          <c:tx>
            <c:strRef>
              <c:f>'Curva de abrams 1'!$C$6</c:f>
              <c:strCache>
                <c:ptCount val="1"/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none"/>
          </c:marker>
          <c:xVal>
            <c:numRef>
              <c:f>'Curva de abrams 1'!$D$6:$D$11</c:f>
              <c:numCache>
                <c:formatCode>0.000</c:formatCode>
                <c:ptCount val="6"/>
                <c:pt idx="0">
                  <c:v>1</c:v>
                </c:pt>
                <c:pt idx="1">
                  <c:v>0.86399999999999999</c:v>
                </c:pt>
                <c:pt idx="2">
                  <c:v>0.76</c:v>
                </c:pt>
                <c:pt idx="3">
                  <c:v>0.63300000000000001</c:v>
                </c:pt>
                <c:pt idx="4">
                  <c:v>0.54300000000000004</c:v>
                </c:pt>
              </c:numCache>
            </c:numRef>
          </c:xVal>
          <c:yVal>
            <c:numRef>
              <c:f>'Curva de abrams 1'!$F$6:$F$11</c:f>
              <c:numCache>
                <c:formatCode>0.0</c:formatCode>
                <c:ptCount val="6"/>
                <c:pt idx="0">
                  <c:v>18.5</c:v>
                </c:pt>
                <c:pt idx="1">
                  <c:v>24</c:v>
                </c:pt>
                <c:pt idx="2">
                  <c:v>28.1</c:v>
                </c:pt>
                <c:pt idx="3">
                  <c:v>36.1</c:v>
                </c:pt>
                <c:pt idx="4">
                  <c:v>43</c:v>
                </c:pt>
              </c:numCache>
            </c:numRef>
          </c:y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2-415A-4893-AFBF-070E79F9EFA5}"/>
            </c:ext>
          </c:extLst>
        </c:ser>
        <c:ser>
          <c:idx val="27"/>
          <c:order val="3"/>
          <c:tx>
            <c:strRef>
              <c:f>'Curva de abrams 1'!$C$6</c:f>
              <c:strCache>
                <c:ptCount val="1"/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none"/>
          </c:marker>
          <c:xVal>
            <c:numRef>
              <c:f>'Curva de abrams 1'!$D$6:$D$11</c:f>
              <c:numCache>
                <c:formatCode>0.000</c:formatCode>
                <c:ptCount val="6"/>
                <c:pt idx="0">
                  <c:v>1</c:v>
                </c:pt>
                <c:pt idx="1">
                  <c:v>0.86399999999999999</c:v>
                </c:pt>
                <c:pt idx="2">
                  <c:v>0.76</c:v>
                </c:pt>
                <c:pt idx="3">
                  <c:v>0.63300000000000001</c:v>
                </c:pt>
                <c:pt idx="4">
                  <c:v>0.54300000000000004</c:v>
                </c:pt>
              </c:numCache>
            </c:numRef>
          </c:xVal>
          <c:yVal>
            <c:numRef>
              <c:f>'Curva de abrams 1'!$F$6:$F$11</c:f>
              <c:numCache>
                <c:formatCode>0.0</c:formatCode>
                <c:ptCount val="6"/>
                <c:pt idx="0">
                  <c:v>18.5</c:v>
                </c:pt>
                <c:pt idx="1">
                  <c:v>24</c:v>
                </c:pt>
                <c:pt idx="2">
                  <c:v>28.1</c:v>
                </c:pt>
                <c:pt idx="3">
                  <c:v>36.1</c:v>
                </c:pt>
                <c:pt idx="4">
                  <c:v>43</c:v>
                </c:pt>
              </c:numCache>
            </c:numRef>
          </c:y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3-415A-4893-AFBF-070E79F9EFA5}"/>
            </c:ext>
          </c:extLst>
        </c:ser>
        <c:ser>
          <c:idx val="15"/>
          <c:order val="8"/>
          <c:tx>
            <c:strRef>
              <c:f>'Curva de abrams 1'!$C$6</c:f>
              <c:strCache>
                <c:ptCount val="1"/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none"/>
          </c:marker>
          <c:xVal>
            <c:numRef>
              <c:f>'Curva de abrams 1'!$D$6:$D$11</c:f>
              <c:numCache>
                <c:formatCode>0.000</c:formatCode>
                <c:ptCount val="6"/>
                <c:pt idx="0">
                  <c:v>1</c:v>
                </c:pt>
                <c:pt idx="1">
                  <c:v>0.86399999999999999</c:v>
                </c:pt>
                <c:pt idx="2">
                  <c:v>0.76</c:v>
                </c:pt>
                <c:pt idx="3">
                  <c:v>0.63300000000000001</c:v>
                </c:pt>
                <c:pt idx="4">
                  <c:v>0.54300000000000004</c:v>
                </c:pt>
              </c:numCache>
            </c:numRef>
          </c:xVal>
          <c:yVal>
            <c:numRef>
              <c:f>'Curva de abrams 1'!$F$6:$F$11</c:f>
              <c:numCache>
                <c:formatCode>0.0</c:formatCode>
                <c:ptCount val="6"/>
                <c:pt idx="0">
                  <c:v>18.5</c:v>
                </c:pt>
                <c:pt idx="1">
                  <c:v>24</c:v>
                </c:pt>
                <c:pt idx="2">
                  <c:v>28.1</c:v>
                </c:pt>
                <c:pt idx="3">
                  <c:v>36.1</c:v>
                </c:pt>
                <c:pt idx="4">
                  <c:v>43</c:v>
                </c:pt>
              </c:numCache>
            </c:numRef>
          </c:y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4-415A-4893-AFBF-070E79F9EFA5}"/>
            </c:ext>
          </c:extLst>
        </c:ser>
        <c:ser>
          <c:idx val="3"/>
          <c:order val="9"/>
          <c:tx>
            <c:strRef>
              <c:f>'Curva de abrams 1'!$C$6</c:f>
              <c:strCache>
                <c:ptCount val="1"/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none"/>
          </c:marker>
          <c:xVal>
            <c:numRef>
              <c:f>'Curva de abrams 1'!$D$6:$D$11</c:f>
              <c:numCache>
                <c:formatCode>0.000</c:formatCode>
                <c:ptCount val="6"/>
                <c:pt idx="0">
                  <c:v>1</c:v>
                </c:pt>
                <c:pt idx="1">
                  <c:v>0.86399999999999999</c:v>
                </c:pt>
                <c:pt idx="2">
                  <c:v>0.76</c:v>
                </c:pt>
                <c:pt idx="3">
                  <c:v>0.63300000000000001</c:v>
                </c:pt>
                <c:pt idx="4">
                  <c:v>0.54300000000000004</c:v>
                </c:pt>
              </c:numCache>
            </c:numRef>
          </c:xVal>
          <c:yVal>
            <c:numRef>
              <c:f>'Curva de abrams 1'!$F$6:$F$11</c:f>
              <c:numCache>
                <c:formatCode>0.0</c:formatCode>
                <c:ptCount val="6"/>
                <c:pt idx="0">
                  <c:v>18.5</c:v>
                </c:pt>
                <c:pt idx="1">
                  <c:v>24</c:v>
                </c:pt>
                <c:pt idx="2">
                  <c:v>28.1</c:v>
                </c:pt>
                <c:pt idx="3">
                  <c:v>36.1</c:v>
                </c:pt>
                <c:pt idx="4">
                  <c:v>43</c:v>
                </c:pt>
              </c:numCache>
            </c:numRef>
          </c:y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5-415A-4893-AFBF-070E79F9EFA5}"/>
            </c:ext>
          </c:extLst>
        </c:ser>
        <c:ser>
          <c:idx val="6"/>
          <c:order val="10"/>
          <c:tx>
            <c:strRef>
              <c:f>'Curva de abrams 1'!$C$6</c:f>
              <c:strCache>
                <c:ptCount val="1"/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none"/>
          </c:marker>
          <c:xVal>
            <c:numRef>
              <c:f>'Curva de abrams 1'!$D$6:$D$11</c:f>
              <c:numCache>
                <c:formatCode>0.000</c:formatCode>
                <c:ptCount val="6"/>
                <c:pt idx="0">
                  <c:v>1</c:v>
                </c:pt>
                <c:pt idx="1">
                  <c:v>0.86399999999999999</c:v>
                </c:pt>
                <c:pt idx="2">
                  <c:v>0.76</c:v>
                </c:pt>
                <c:pt idx="3">
                  <c:v>0.63300000000000001</c:v>
                </c:pt>
                <c:pt idx="4">
                  <c:v>0.54300000000000004</c:v>
                </c:pt>
              </c:numCache>
            </c:numRef>
          </c:xVal>
          <c:yVal>
            <c:numRef>
              <c:f>'Curva de abrams 1'!$F$6:$F$11</c:f>
              <c:numCache>
                <c:formatCode>0.0</c:formatCode>
                <c:ptCount val="6"/>
                <c:pt idx="0">
                  <c:v>18.5</c:v>
                </c:pt>
                <c:pt idx="1">
                  <c:v>24</c:v>
                </c:pt>
                <c:pt idx="2">
                  <c:v>28.1</c:v>
                </c:pt>
                <c:pt idx="3">
                  <c:v>36.1</c:v>
                </c:pt>
                <c:pt idx="4">
                  <c:v>43</c:v>
                </c:pt>
              </c:numCache>
            </c:numRef>
          </c:y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6-415A-4893-AFBF-070E79F9EFA5}"/>
            </c:ext>
          </c:extLst>
        </c:ser>
        <c:ser>
          <c:idx val="1"/>
          <c:order val="11"/>
          <c:tx>
            <c:strRef>
              <c:f>'Curva de abrams 1'!$C$6</c:f>
              <c:strCache>
                <c:ptCount val="1"/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none"/>
          </c:marker>
          <c:trendline>
            <c:spPr>
              <a:ln w="19050" cap="rnd">
                <a:solidFill>
                  <a:schemeClr val="accent1">
                    <a:shade val="38000"/>
                  </a:schemeClr>
                </a:solidFill>
              </a:ln>
              <a:effectLst/>
            </c:spPr>
            <c:trendlineType val="power"/>
            <c:forward val="0.1"/>
            <c:backward val="5.0000000000000024E-2"/>
            <c:dispRSqr val="1"/>
            <c:dispEq val="1"/>
            <c:trendlineLbl>
              <c:layout>
                <c:manualLayout>
                  <c:x val="0.21719313353819761"/>
                  <c:y val="-0.58409391479756767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dk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</c:trendlineLbl>
          </c:trendline>
          <c:xVal>
            <c:numRef>
              <c:f>'Curva de abrams 1'!$D$6:$D$11</c:f>
              <c:numCache>
                <c:formatCode>0.000</c:formatCode>
                <c:ptCount val="6"/>
                <c:pt idx="0">
                  <c:v>1</c:v>
                </c:pt>
                <c:pt idx="1">
                  <c:v>0.86399999999999999</c:v>
                </c:pt>
                <c:pt idx="2">
                  <c:v>0.76</c:v>
                </c:pt>
                <c:pt idx="3">
                  <c:v>0.63300000000000001</c:v>
                </c:pt>
                <c:pt idx="4">
                  <c:v>0.54300000000000004</c:v>
                </c:pt>
              </c:numCache>
            </c:numRef>
          </c:xVal>
          <c:yVal>
            <c:numRef>
              <c:f>'Curva de abrams 1'!$F$6:$F$11</c:f>
              <c:numCache>
                <c:formatCode>0.0</c:formatCode>
                <c:ptCount val="6"/>
                <c:pt idx="0">
                  <c:v>18.5</c:v>
                </c:pt>
                <c:pt idx="1">
                  <c:v>24</c:v>
                </c:pt>
                <c:pt idx="2">
                  <c:v>28.1</c:v>
                </c:pt>
                <c:pt idx="3">
                  <c:v>36.1</c:v>
                </c:pt>
                <c:pt idx="4">
                  <c:v>43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8-415A-4893-AFBF-070E79F9EFA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53426096"/>
        <c:axId val="153420112"/>
        <c:extLst>
          <c:ext xmlns:c15="http://schemas.microsoft.com/office/drawing/2012/chart" uri="{02D57815-91ED-43cb-92C2-25804820EDAC}">
            <c15:filteredScatterSeries>
              <c15:ser>
                <c:idx val="30"/>
                <c:order val="4"/>
                <c:tx>
                  <c:strRef>
                    <c:extLst>
                      <c:ext uri="{02D57815-91ED-43cb-92C2-25804820EDAC}">
                        <c15:formulaRef>
                          <c15:sqref>'Curva de abrams 1'!$C$6</c15:sqref>
                        </c15:formulaRef>
                      </c:ext>
                    </c:extLst>
                    <c:strCache>
                      <c:ptCount val="1"/>
                    </c:strCache>
                  </c:strRef>
                </c:tx>
                <c:spPr>
                  <a:ln w="25400" cap="rnd">
                    <a:noFill/>
                    <a:round/>
                  </a:ln>
                  <a:effectLst/>
                </c:spPr>
                <c:marker>
                  <c:symbol val="none"/>
                </c:marker>
                <c:xVal>
                  <c:numRef>
                    <c:extLst>
                      <c:ext uri="{02D57815-91ED-43cb-92C2-25804820EDAC}">
                        <c15:formulaRef>
                          <c15:sqref>'Curva de abrams 1'!$D$6:$D$11</c15:sqref>
                        </c15:formulaRef>
                      </c:ext>
                    </c:extLst>
                    <c:numCache>
                      <c:formatCode>0.000</c:formatCode>
                      <c:ptCount val="6"/>
                      <c:pt idx="0">
                        <c:v>1</c:v>
                      </c:pt>
                      <c:pt idx="1">
                        <c:v>0.86399999999999999</c:v>
                      </c:pt>
                      <c:pt idx="2">
                        <c:v>0.76</c:v>
                      </c:pt>
                      <c:pt idx="3">
                        <c:v>0.63300000000000001</c:v>
                      </c:pt>
                      <c:pt idx="4">
                        <c:v>0.54300000000000004</c:v>
                      </c:pt>
                    </c:numCache>
                  </c:numRef>
                </c:xVal>
                <c:yVal>
                  <c:numRef>
                    <c:extLst>
                      <c:ext uri="{02D57815-91ED-43cb-92C2-25804820EDAC}">
                        <c15:formulaRef>
                          <c15:sqref>'Curva de abrams 1'!$F$6:$F$11</c15:sqref>
                        </c15:formulaRef>
                      </c:ext>
                    </c:extLst>
                    <c:numCache>
                      <c:formatCode>0.0</c:formatCode>
                      <c:ptCount val="6"/>
                      <c:pt idx="0">
                        <c:v>18.5</c:v>
                      </c:pt>
                      <c:pt idx="1">
                        <c:v>24</c:v>
                      </c:pt>
                      <c:pt idx="2">
                        <c:v>28.1</c:v>
                      </c:pt>
                      <c:pt idx="3">
                        <c:v>36.1</c:v>
                      </c:pt>
                      <c:pt idx="4">
                        <c:v>43</c:v>
                      </c:pt>
                    </c:numCache>
                  </c:numRef>
                </c:yVal>
                <c:smooth val="0"/>
                <c:extLst>
                  <c:ext xmlns:c16="http://schemas.microsoft.com/office/drawing/2014/chart" uri="{C3380CC4-5D6E-409C-BE32-E72D297353CC}">
                    <c16:uniqueId val="{00000009-415A-4893-AFBF-070E79F9EFA5}"/>
                  </c:ext>
                </c:extLst>
              </c15:ser>
            </c15:filteredScatterSeries>
            <c15:filteredScatterSeries>
              <c15:ser>
                <c:idx val="33"/>
                <c:order val="5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'Curva de abrams 1'!$C$6</c15:sqref>
                        </c15:formulaRef>
                      </c:ext>
                    </c:extLst>
                    <c:strCache>
                      <c:ptCount val="1"/>
                    </c:strCache>
                  </c:strRef>
                </c:tx>
                <c:spPr>
                  <a:ln w="25400" cap="rnd">
                    <a:noFill/>
                    <a:round/>
                  </a:ln>
                  <a:effectLst/>
                </c:spPr>
                <c:marker>
                  <c:symbol val="none"/>
                </c:marker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'Curva de abrams 1'!$D$6:$D$11</c15:sqref>
                        </c15:formulaRef>
                      </c:ext>
                    </c:extLst>
                    <c:numCache>
                      <c:formatCode>0.000</c:formatCode>
                      <c:ptCount val="6"/>
                      <c:pt idx="0">
                        <c:v>1</c:v>
                      </c:pt>
                      <c:pt idx="1">
                        <c:v>0.86399999999999999</c:v>
                      </c:pt>
                      <c:pt idx="2">
                        <c:v>0.76</c:v>
                      </c:pt>
                      <c:pt idx="3">
                        <c:v>0.63300000000000001</c:v>
                      </c:pt>
                      <c:pt idx="4">
                        <c:v>0.54300000000000004</c:v>
                      </c:pt>
                    </c:numCache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'Curva de abrams 1'!$F$6:$F$11</c15:sqref>
                        </c15:formulaRef>
                      </c:ext>
                    </c:extLst>
                    <c:numCache>
                      <c:formatCode>0.0</c:formatCode>
                      <c:ptCount val="6"/>
                      <c:pt idx="0">
                        <c:v>18.5</c:v>
                      </c:pt>
                      <c:pt idx="1">
                        <c:v>24</c:v>
                      </c:pt>
                      <c:pt idx="2">
                        <c:v>28.1</c:v>
                      </c:pt>
                      <c:pt idx="3">
                        <c:v>36.1</c:v>
                      </c:pt>
                      <c:pt idx="4">
                        <c:v>43</c:v>
                      </c:pt>
                    </c:numCache>
                  </c:numRef>
                </c:y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A-415A-4893-AFBF-070E79F9EFA5}"/>
                  </c:ext>
                </c:extLst>
              </c15:ser>
            </c15:filteredScatterSeries>
            <c15:filteredScatterSeries>
              <c15:ser>
                <c:idx val="9"/>
                <c:order val="6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'Curva de abrams 1'!$C$6</c15:sqref>
                        </c15:formulaRef>
                      </c:ext>
                    </c:extLst>
                    <c:strCache>
                      <c:ptCount val="1"/>
                    </c:strCache>
                  </c:strRef>
                </c:tx>
                <c:spPr>
                  <a:ln w="25400" cap="rnd">
                    <a:noFill/>
                    <a:round/>
                  </a:ln>
                  <a:effectLst/>
                </c:spPr>
                <c:marker>
                  <c:symbol val="none"/>
                </c:marker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'Curva de abrams 1'!$D$6:$D$11</c15:sqref>
                        </c15:formulaRef>
                      </c:ext>
                    </c:extLst>
                    <c:numCache>
                      <c:formatCode>0.000</c:formatCode>
                      <c:ptCount val="6"/>
                      <c:pt idx="0">
                        <c:v>1</c:v>
                      </c:pt>
                      <c:pt idx="1">
                        <c:v>0.86399999999999999</c:v>
                      </c:pt>
                      <c:pt idx="2">
                        <c:v>0.76</c:v>
                      </c:pt>
                      <c:pt idx="3">
                        <c:v>0.63300000000000001</c:v>
                      </c:pt>
                      <c:pt idx="4">
                        <c:v>0.54300000000000004</c:v>
                      </c:pt>
                    </c:numCache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'Curva de abrams 1'!$F$6:$F$11</c15:sqref>
                        </c15:formulaRef>
                      </c:ext>
                    </c:extLst>
                    <c:numCache>
                      <c:formatCode>0.0</c:formatCode>
                      <c:ptCount val="6"/>
                      <c:pt idx="0">
                        <c:v>18.5</c:v>
                      </c:pt>
                      <c:pt idx="1">
                        <c:v>24</c:v>
                      </c:pt>
                      <c:pt idx="2">
                        <c:v>28.1</c:v>
                      </c:pt>
                      <c:pt idx="3">
                        <c:v>36.1</c:v>
                      </c:pt>
                      <c:pt idx="4">
                        <c:v>43</c:v>
                      </c:pt>
                    </c:numCache>
                  </c:numRef>
                </c:y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B-415A-4893-AFBF-070E79F9EFA5}"/>
                  </c:ext>
                </c:extLst>
              </c15:ser>
            </c15:filteredScatterSeries>
            <c15:filteredScatterSeries>
              <c15:ser>
                <c:idx val="12"/>
                <c:order val="7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'Curva de abrams 1'!$C$6</c15:sqref>
                        </c15:formulaRef>
                      </c:ext>
                    </c:extLst>
                    <c:strCache>
                      <c:ptCount val="1"/>
                    </c:strCache>
                  </c:strRef>
                </c:tx>
                <c:spPr>
                  <a:ln w="25400" cap="rnd">
                    <a:noFill/>
                    <a:round/>
                  </a:ln>
                  <a:effectLst/>
                </c:spPr>
                <c:marker>
                  <c:symbol val="none"/>
                </c:marker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'Curva de abrams 1'!$D$6:$D$11</c15:sqref>
                        </c15:formulaRef>
                      </c:ext>
                    </c:extLst>
                    <c:numCache>
                      <c:formatCode>0.000</c:formatCode>
                      <c:ptCount val="6"/>
                      <c:pt idx="0">
                        <c:v>1</c:v>
                      </c:pt>
                      <c:pt idx="1">
                        <c:v>0.86399999999999999</c:v>
                      </c:pt>
                      <c:pt idx="2">
                        <c:v>0.76</c:v>
                      </c:pt>
                      <c:pt idx="3">
                        <c:v>0.63300000000000001</c:v>
                      </c:pt>
                      <c:pt idx="4">
                        <c:v>0.54300000000000004</c:v>
                      </c:pt>
                    </c:numCache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'Curva de abrams 1'!$F$6:$F$11</c15:sqref>
                        </c15:formulaRef>
                      </c:ext>
                    </c:extLst>
                    <c:numCache>
                      <c:formatCode>0.0</c:formatCode>
                      <c:ptCount val="6"/>
                      <c:pt idx="0">
                        <c:v>18.5</c:v>
                      </c:pt>
                      <c:pt idx="1">
                        <c:v>24</c:v>
                      </c:pt>
                      <c:pt idx="2">
                        <c:v>28.1</c:v>
                      </c:pt>
                      <c:pt idx="3">
                        <c:v>36.1</c:v>
                      </c:pt>
                      <c:pt idx="4">
                        <c:v>43</c:v>
                      </c:pt>
                    </c:numCache>
                  </c:numRef>
                </c:y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C-415A-4893-AFBF-070E79F9EFA5}"/>
                  </c:ext>
                </c:extLst>
              </c15:ser>
            </c15:filteredScatterSeries>
          </c:ext>
        </c:extLst>
      </c:scatterChart>
      <c:valAx>
        <c:axId val="153426096"/>
        <c:scaling>
          <c:orientation val="minMax"/>
          <c:max val="1.2"/>
          <c:min val="0.4"/>
        </c:scaling>
        <c:delete val="0"/>
        <c:axPos val="b"/>
        <c:majorGridlines>
          <c:spPr>
            <a:ln w="9525" cap="flat" cmpd="sng" algn="ctr">
              <a:solidFill>
                <a:schemeClr val="dk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dk1">
                <a:lumMod val="15000"/>
                <a:lumOff val="85000"/>
                <a:alpha val="54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dk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53420112"/>
        <c:crosses val="autoZero"/>
        <c:crossBetween val="midCat"/>
        <c:majorUnit val="5.0000000000000024E-2"/>
        <c:minorUnit val="1.0000000000000005E-2"/>
      </c:valAx>
      <c:valAx>
        <c:axId val="15342011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dk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dk1">
                <a:lumMod val="15000"/>
                <a:lumOff val="85000"/>
                <a:alpha val="54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dk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53426096"/>
        <c:crosses val="autoZero"/>
        <c:crossBetween val="midCat"/>
        <c:majorUnit val="5"/>
      </c:valAx>
      <c:spPr>
        <a:pattFill prst="ltDnDiag">
          <a:fgClr>
            <a:schemeClr val="dk1">
              <a:lumMod val="15000"/>
              <a:lumOff val="85000"/>
            </a:schemeClr>
          </a:fgClr>
          <a:bgClr>
            <a:schemeClr val="lt1"/>
          </a:bgClr>
        </a:pattFill>
        <a:ln>
          <a:noFill/>
        </a:ln>
        <a:effectLst/>
      </c:spPr>
    </c:plotArea>
    <c:plotVisOnly val="1"/>
    <c:dispBlanksAs val="gap"/>
    <c:showDLblsOverMax val="0"/>
  </c:chart>
  <c:spPr>
    <a:solidFill>
      <a:schemeClr val="lt1"/>
    </a:soli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41" footer="0.31496062000000041"/>
    <c:pageSetup paperSize="9" orientation="landscape"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3"/>
    </mc:Choice>
    <mc:Fallback>
      <c:style val="3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cap="none" spc="0" normalizeH="0" baseline="0">
                <a:solidFill>
                  <a:schemeClr val="dk1">
                    <a:lumMod val="50000"/>
                    <a:lumOff val="50000"/>
                  </a:schemeClr>
                </a:solidFill>
                <a:latin typeface="+mj-lt"/>
                <a:ea typeface="+mj-ea"/>
                <a:cs typeface="+mj-cs"/>
              </a:defRPr>
            </a:pPr>
            <a:r>
              <a:rPr lang="en-US"/>
              <a:t>(CURVAS DE ABRAMS 28 DIAS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cap="none" spc="0" normalizeH="0" baseline="0">
              <a:solidFill>
                <a:schemeClr val="dk1">
                  <a:lumMod val="50000"/>
                  <a:lumOff val="50000"/>
                </a:schemeClr>
              </a:solidFill>
              <a:latin typeface="+mj-lt"/>
              <a:ea typeface="+mj-ea"/>
              <a:cs typeface="+mj-cs"/>
            </a:defRPr>
          </a:pPr>
          <a:endParaRPr lang="pt-BR"/>
        </a:p>
      </c:txPr>
    </c:title>
    <c:autoTitleDeleted val="0"/>
    <c:plotArea>
      <c:layout>
        <c:manualLayout>
          <c:layoutTarget val="inner"/>
          <c:xMode val="edge"/>
          <c:yMode val="edge"/>
          <c:x val="0.10319511074140335"/>
          <c:y val="0.13733719173775871"/>
          <c:w val="0.85807004949272803"/>
          <c:h val="0.76736409293598673"/>
        </c:manualLayout>
      </c:layout>
      <c:scatterChart>
        <c:scatterStyle val="lineMarker"/>
        <c:varyColors val="0"/>
        <c:ser>
          <c:idx val="18"/>
          <c:order val="0"/>
          <c:tx>
            <c:strRef>
              <c:f>'Curva de abrams 2'!$C$5</c:f>
              <c:strCache>
                <c:ptCount val="1"/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none"/>
          </c:marker>
          <c:xVal>
            <c:numRef>
              <c:f>'Curva de abrams 2'!$D$5:$D$10</c:f>
              <c:numCache>
                <c:formatCode>0.000</c:formatCode>
                <c:ptCount val="6"/>
                <c:pt idx="0">
                  <c:v>1</c:v>
                </c:pt>
                <c:pt idx="1">
                  <c:v>0.86399999999999999</c:v>
                </c:pt>
                <c:pt idx="2">
                  <c:v>0.76</c:v>
                </c:pt>
                <c:pt idx="3">
                  <c:v>0.63300000000000001</c:v>
                </c:pt>
                <c:pt idx="4">
                  <c:v>0.54300000000000004</c:v>
                </c:pt>
              </c:numCache>
            </c:numRef>
          </c:xVal>
          <c:yVal>
            <c:numRef>
              <c:f>'Curva de abrams 2'!$F$5:$F$10</c:f>
              <c:numCache>
                <c:formatCode>0.0</c:formatCode>
                <c:ptCount val="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</c:numCache>
            </c:numRef>
          </c:y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0-E891-46CF-9020-41CC0B4C3293}"/>
            </c:ext>
          </c:extLst>
        </c:ser>
        <c:ser>
          <c:idx val="21"/>
          <c:order val="1"/>
          <c:tx>
            <c:strRef>
              <c:f>'Curva de abrams 2'!$C$5</c:f>
              <c:strCache>
                <c:ptCount val="1"/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none"/>
          </c:marker>
          <c:xVal>
            <c:numRef>
              <c:f>'Curva de abrams 2'!$D$5:$D$10</c:f>
              <c:numCache>
                <c:formatCode>0.000</c:formatCode>
                <c:ptCount val="6"/>
                <c:pt idx="0">
                  <c:v>1</c:v>
                </c:pt>
                <c:pt idx="1">
                  <c:v>0.86399999999999999</c:v>
                </c:pt>
                <c:pt idx="2">
                  <c:v>0.76</c:v>
                </c:pt>
                <c:pt idx="3">
                  <c:v>0.63300000000000001</c:v>
                </c:pt>
                <c:pt idx="4">
                  <c:v>0.54300000000000004</c:v>
                </c:pt>
              </c:numCache>
            </c:numRef>
          </c:xVal>
          <c:yVal>
            <c:numRef>
              <c:f>'Curva de abrams 2'!$F$5:$F$10</c:f>
              <c:numCache>
                <c:formatCode>0.0</c:formatCode>
                <c:ptCount val="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</c:numCache>
            </c:numRef>
          </c:y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1-E891-46CF-9020-41CC0B4C3293}"/>
            </c:ext>
          </c:extLst>
        </c:ser>
        <c:ser>
          <c:idx val="24"/>
          <c:order val="2"/>
          <c:tx>
            <c:strRef>
              <c:f>'Curva de abrams 2'!$C$5</c:f>
              <c:strCache>
                <c:ptCount val="1"/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none"/>
          </c:marker>
          <c:xVal>
            <c:numRef>
              <c:f>'Curva de abrams 2'!$D$5:$D$10</c:f>
              <c:numCache>
                <c:formatCode>0.000</c:formatCode>
                <c:ptCount val="6"/>
                <c:pt idx="0">
                  <c:v>1</c:v>
                </c:pt>
                <c:pt idx="1">
                  <c:v>0.86399999999999999</c:v>
                </c:pt>
                <c:pt idx="2">
                  <c:v>0.76</c:v>
                </c:pt>
                <c:pt idx="3">
                  <c:v>0.63300000000000001</c:v>
                </c:pt>
                <c:pt idx="4">
                  <c:v>0.54300000000000004</c:v>
                </c:pt>
              </c:numCache>
            </c:numRef>
          </c:xVal>
          <c:yVal>
            <c:numRef>
              <c:f>'Curva de abrams 2'!$F$5:$F$10</c:f>
              <c:numCache>
                <c:formatCode>0.0</c:formatCode>
                <c:ptCount val="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</c:numCache>
            </c:numRef>
          </c:y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2-E891-46CF-9020-41CC0B4C3293}"/>
            </c:ext>
          </c:extLst>
        </c:ser>
        <c:ser>
          <c:idx val="27"/>
          <c:order val="3"/>
          <c:tx>
            <c:strRef>
              <c:f>'Curva de abrams 2'!$C$5</c:f>
              <c:strCache>
                <c:ptCount val="1"/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none"/>
          </c:marker>
          <c:xVal>
            <c:numRef>
              <c:f>'Curva de abrams 2'!$D$5:$D$10</c:f>
              <c:numCache>
                <c:formatCode>0.000</c:formatCode>
                <c:ptCount val="6"/>
                <c:pt idx="0">
                  <c:v>1</c:v>
                </c:pt>
                <c:pt idx="1">
                  <c:v>0.86399999999999999</c:v>
                </c:pt>
                <c:pt idx="2">
                  <c:v>0.76</c:v>
                </c:pt>
                <c:pt idx="3">
                  <c:v>0.63300000000000001</c:v>
                </c:pt>
                <c:pt idx="4">
                  <c:v>0.54300000000000004</c:v>
                </c:pt>
              </c:numCache>
            </c:numRef>
          </c:xVal>
          <c:yVal>
            <c:numRef>
              <c:f>'Curva de abrams 2'!$F$5:$F$10</c:f>
              <c:numCache>
                <c:formatCode>0.0</c:formatCode>
                <c:ptCount val="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</c:numCache>
            </c:numRef>
          </c:y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3-E891-46CF-9020-41CC0B4C3293}"/>
            </c:ext>
          </c:extLst>
        </c:ser>
        <c:ser>
          <c:idx val="15"/>
          <c:order val="8"/>
          <c:tx>
            <c:strRef>
              <c:f>'Curva de abrams 2'!$C$5</c:f>
              <c:strCache>
                <c:ptCount val="1"/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none"/>
          </c:marker>
          <c:xVal>
            <c:numRef>
              <c:f>'Curva de abrams 2'!$D$5:$D$10</c:f>
              <c:numCache>
                <c:formatCode>0.000</c:formatCode>
                <c:ptCount val="6"/>
                <c:pt idx="0">
                  <c:v>1</c:v>
                </c:pt>
                <c:pt idx="1">
                  <c:v>0.86399999999999999</c:v>
                </c:pt>
                <c:pt idx="2">
                  <c:v>0.76</c:v>
                </c:pt>
                <c:pt idx="3">
                  <c:v>0.63300000000000001</c:v>
                </c:pt>
                <c:pt idx="4">
                  <c:v>0.54300000000000004</c:v>
                </c:pt>
              </c:numCache>
            </c:numRef>
          </c:xVal>
          <c:yVal>
            <c:numRef>
              <c:f>'Curva de abrams 2'!$F$5:$F$10</c:f>
              <c:numCache>
                <c:formatCode>0.0</c:formatCode>
                <c:ptCount val="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</c:numCache>
            </c:numRef>
          </c:y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4-E891-46CF-9020-41CC0B4C3293}"/>
            </c:ext>
          </c:extLst>
        </c:ser>
        <c:ser>
          <c:idx val="3"/>
          <c:order val="9"/>
          <c:tx>
            <c:strRef>
              <c:f>'Curva de abrams 2'!$C$5</c:f>
              <c:strCache>
                <c:ptCount val="1"/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none"/>
          </c:marker>
          <c:xVal>
            <c:numRef>
              <c:f>'Curva de abrams 2'!$D$5:$D$10</c:f>
              <c:numCache>
                <c:formatCode>0.000</c:formatCode>
                <c:ptCount val="6"/>
                <c:pt idx="0">
                  <c:v>1</c:v>
                </c:pt>
                <c:pt idx="1">
                  <c:v>0.86399999999999999</c:v>
                </c:pt>
                <c:pt idx="2">
                  <c:v>0.76</c:v>
                </c:pt>
                <c:pt idx="3">
                  <c:v>0.63300000000000001</c:v>
                </c:pt>
                <c:pt idx="4">
                  <c:v>0.54300000000000004</c:v>
                </c:pt>
              </c:numCache>
            </c:numRef>
          </c:xVal>
          <c:yVal>
            <c:numRef>
              <c:f>'Curva de abrams 2'!$F$5:$F$10</c:f>
              <c:numCache>
                <c:formatCode>0.0</c:formatCode>
                <c:ptCount val="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</c:numCache>
            </c:numRef>
          </c:y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5-E891-46CF-9020-41CC0B4C3293}"/>
            </c:ext>
          </c:extLst>
        </c:ser>
        <c:ser>
          <c:idx val="6"/>
          <c:order val="10"/>
          <c:tx>
            <c:strRef>
              <c:f>'Curva de abrams 2'!$C$5</c:f>
              <c:strCache>
                <c:ptCount val="1"/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none"/>
          </c:marker>
          <c:xVal>
            <c:numRef>
              <c:f>'Curva de abrams 2'!$D$5:$D$10</c:f>
              <c:numCache>
                <c:formatCode>0.000</c:formatCode>
                <c:ptCount val="6"/>
                <c:pt idx="0">
                  <c:v>1</c:v>
                </c:pt>
                <c:pt idx="1">
                  <c:v>0.86399999999999999</c:v>
                </c:pt>
                <c:pt idx="2">
                  <c:v>0.76</c:v>
                </c:pt>
                <c:pt idx="3">
                  <c:v>0.63300000000000001</c:v>
                </c:pt>
                <c:pt idx="4">
                  <c:v>0.54300000000000004</c:v>
                </c:pt>
              </c:numCache>
            </c:numRef>
          </c:xVal>
          <c:yVal>
            <c:numRef>
              <c:f>'Curva de abrams 2'!$F$5:$F$10</c:f>
              <c:numCache>
                <c:formatCode>0.0</c:formatCode>
                <c:ptCount val="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</c:numCache>
            </c:numRef>
          </c:y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6-E891-46CF-9020-41CC0B4C3293}"/>
            </c:ext>
          </c:extLst>
        </c:ser>
        <c:ser>
          <c:idx val="1"/>
          <c:order val="11"/>
          <c:tx>
            <c:strRef>
              <c:f>'Curva de abrams 2'!$C$5</c:f>
              <c:strCache>
                <c:ptCount val="1"/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none"/>
          </c:marker>
          <c:trendline>
            <c:spPr>
              <a:ln w="19050" cap="rnd">
                <a:solidFill>
                  <a:schemeClr val="accent1">
                    <a:shade val="38000"/>
                  </a:schemeClr>
                </a:solidFill>
              </a:ln>
              <a:effectLst/>
            </c:spPr>
            <c:trendlineType val="power"/>
            <c:forward val="0.1"/>
            <c:backward val="5.0000000000000024E-2"/>
            <c:dispRSqr val="1"/>
            <c:dispEq val="1"/>
            <c:trendlineLbl>
              <c:layout>
                <c:manualLayout>
                  <c:x val="0.21719313353819761"/>
                  <c:y val="-0.58409391479756767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2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</c:trendlineLbl>
          </c:trendline>
          <c:xVal>
            <c:numRef>
              <c:f>'Curva de abrams 2'!$D$5:$D$10</c:f>
              <c:numCache>
                <c:formatCode>0.000</c:formatCode>
                <c:ptCount val="6"/>
                <c:pt idx="0">
                  <c:v>1</c:v>
                </c:pt>
                <c:pt idx="1">
                  <c:v>0.86399999999999999</c:v>
                </c:pt>
                <c:pt idx="2">
                  <c:v>0.76</c:v>
                </c:pt>
                <c:pt idx="3">
                  <c:v>0.63300000000000001</c:v>
                </c:pt>
                <c:pt idx="4">
                  <c:v>0.54300000000000004</c:v>
                </c:pt>
              </c:numCache>
            </c:numRef>
          </c:xVal>
          <c:yVal>
            <c:numRef>
              <c:f>'Curva de abrams 2'!$F$5:$F$10</c:f>
              <c:numCache>
                <c:formatCode>0.0</c:formatCode>
                <c:ptCount val="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8-E891-46CF-9020-41CC0B4C329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53426096"/>
        <c:axId val="153420112"/>
        <c:extLst>
          <c:ext xmlns:c15="http://schemas.microsoft.com/office/drawing/2012/chart" uri="{02D57815-91ED-43cb-92C2-25804820EDAC}">
            <c15:filteredScatterSeries>
              <c15:ser>
                <c:idx val="30"/>
                <c:order val="4"/>
                <c:tx>
                  <c:strRef>
                    <c:extLst>
                      <c:ext uri="{02D57815-91ED-43cb-92C2-25804820EDAC}">
                        <c15:formulaRef>
                          <c15:sqref>'Curva de abrams 2'!$C$5</c15:sqref>
                        </c15:formulaRef>
                      </c:ext>
                    </c:extLst>
                    <c:strCache>
                      <c:ptCount val="1"/>
                    </c:strCache>
                  </c:strRef>
                </c:tx>
                <c:spPr>
                  <a:ln w="25400" cap="rnd">
                    <a:noFill/>
                    <a:round/>
                  </a:ln>
                  <a:effectLst/>
                </c:spPr>
                <c:marker>
                  <c:symbol val="none"/>
                </c:marker>
                <c:xVal>
                  <c:numRef>
                    <c:extLst>
                      <c:ext uri="{02D57815-91ED-43cb-92C2-25804820EDAC}">
                        <c15:formulaRef>
                          <c15:sqref>'Curva de abrams 2'!$D$5:$D$10</c15:sqref>
                        </c15:formulaRef>
                      </c:ext>
                    </c:extLst>
                    <c:numCache>
                      <c:formatCode>0.000</c:formatCode>
                      <c:ptCount val="6"/>
                      <c:pt idx="0">
                        <c:v>1</c:v>
                      </c:pt>
                      <c:pt idx="1">
                        <c:v>0.86399999999999999</c:v>
                      </c:pt>
                      <c:pt idx="2">
                        <c:v>0.76</c:v>
                      </c:pt>
                      <c:pt idx="3">
                        <c:v>0.63300000000000001</c:v>
                      </c:pt>
                      <c:pt idx="4">
                        <c:v>0.54300000000000004</c:v>
                      </c:pt>
                    </c:numCache>
                  </c:numRef>
                </c:xVal>
                <c:yVal>
                  <c:numRef>
                    <c:extLst>
                      <c:ext uri="{02D57815-91ED-43cb-92C2-25804820EDAC}">
                        <c15:formulaRef>
                          <c15:sqref>'Curva de abrams 2'!$F$5:$F$10</c15:sqref>
                        </c15:formulaRef>
                      </c:ext>
                    </c:extLst>
                    <c:numCache>
                      <c:formatCode>0.0</c:formatCode>
                      <c:ptCount val="6"/>
                      <c:pt idx="0">
                        <c:v>0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0</c:v>
                      </c:pt>
                    </c:numCache>
                  </c:numRef>
                </c:yVal>
                <c:smooth val="0"/>
                <c:extLst>
                  <c:ext xmlns:c16="http://schemas.microsoft.com/office/drawing/2014/chart" uri="{C3380CC4-5D6E-409C-BE32-E72D297353CC}">
                    <c16:uniqueId val="{00000009-E891-46CF-9020-41CC0B4C3293}"/>
                  </c:ext>
                </c:extLst>
              </c15:ser>
            </c15:filteredScatterSeries>
            <c15:filteredScatterSeries>
              <c15:ser>
                <c:idx val="33"/>
                <c:order val="5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'Curva de abrams 2'!$C$5</c15:sqref>
                        </c15:formulaRef>
                      </c:ext>
                    </c:extLst>
                    <c:strCache>
                      <c:ptCount val="1"/>
                    </c:strCache>
                  </c:strRef>
                </c:tx>
                <c:spPr>
                  <a:ln w="25400" cap="rnd">
                    <a:noFill/>
                    <a:round/>
                  </a:ln>
                  <a:effectLst/>
                </c:spPr>
                <c:marker>
                  <c:symbol val="none"/>
                </c:marker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'Curva de abrams 2'!$D$5:$D$10</c15:sqref>
                        </c15:formulaRef>
                      </c:ext>
                    </c:extLst>
                    <c:numCache>
                      <c:formatCode>0.000</c:formatCode>
                      <c:ptCount val="6"/>
                      <c:pt idx="0">
                        <c:v>1</c:v>
                      </c:pt>
                      <c:pt idx="1">
                        <c:v>0.86399999999999999</c:v>
                      </c:pt>
                      <c:pt idx="2">
                        <c:v>0.76</c:v>
                      </c:pt>
                      <c:pt idx="3">
                        <c:v>0.63300000000000001</c:v>
                      </c:pt>
                      <c:pt idx="4">
                        <c:v>0.54300000000000004</c:v>
                      </c:pt>
                    </c:numCache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'Curva de abrams 2'!$F$5:$F$10</c15:sqref>
                        </c15:formulaRef>
                      </c:ext>
                    </c:extLst>
                    <c:numCache>
                      <c:formatCode>0.0</c:formatCode>
                      <c:ptCount val="6"/>
                      <c:pt idx="0">
                        <c:v>0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0</c:v>
                      </c:pt>
                    </c:numCache>
                  </c:numRef>
                </c:y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A-E891-46CF-9020-41CC0B4C3293}"/>
                  </c:ext>
                </c:extLst>
              </c15:ser>
            </c15:filteredScatterSeries>
            <c15:filteredScatterSeries>
              <c15:ser>
                <c:idx val="9"/>
                <c:order val="6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'Curva de abrams 2'!$C$5</c15:sqref>
                        </c15:formulaRef>
                      </c:ext>
                    </c:extLst>
                    <c:strCache>
                      <c:ptCount val="1"/>
                    </c:strCache>
                  </c:strRef>
                </c:tx>
                <c:spPr>
                  <a:ln w="25400" cap="rnd">
                    <a:noFill/>
                    <a:round/>
                  </a:ln>
                  <a:effectLst/>
                </c:spPr>
                <c:marker>
                  <c:symbol val="none"/>
                </c:marker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'Curva de abrams 2'!$D$5:$D$10</c15:sqref>
                        </c15:formulaRef>
                      </c:ext>
                    </c:extLst>
                    <c:numCache>
                      <c:formatCode>0.000</c:formatCode>
                      <c:ptCount val="6"/>
                      <c:pt idx="0">
                        <c:v>1</c:v>
                      </c:pt>
                      <c:pt idx="1">
                        <c:v>0.86399999999999999</c:v>
                      </c:pt>
                      <c:pt idx="2">
                        <c:v>0.76</c:v>
                      </c:pt>
                      <c:pt idx="3">
                        <c:v>0.63300000000000001</c:v>
                      </c:pt>
                      <c:pt idx="4">
                        <c:v>0.54300000000000004</c:v>
                      </c:pt>
                    </c:numCache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'Curva de abrams 2'!$F$5:$F$10</c15:sqref>
                        </c15:formulaRef>
                      </c:ext>
                    </c:extLst>
                    <c:numCache>
                      <c:formatCode>0.0</c:formatCode>
                      <c:ptCount val="6"/>
                      <c:pt idx="0">
                        <c:v>0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0</c:v>
                      </c:pt>
                    </c:numCache>
                  </c:numRef>
                </c:y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B-E891-46CF-9020-41CC0B4C3293}"/>
                  </c:ext>
                </c:extLst>
              </c15:ser>
            </c15:filteredScatterSeries>
            <c15:filteredScatterSeries>
              <c15:ser>
                <c:idx val="12"/>
                <c:order val="7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'Curva de abrams 2'!$C$5</c15:sqref>
                        </c15:formulaRef>
                      </c:ext>
                    </c:extLst>
                    <c:strCache>
                      <c:ptCount val="1"/>
                    </c:strCache>
                  </c:strRef>
                </c:tx>
                <c:spPr>
                  <a:ln w="25400" cap="rnd">
                    <a:noFill/>
                    <a:round/>
                  </a:ln>
                  <a:effectLst/>
                </c:spPr>
                <c:marker>
                  <c:symbol val="none"/>
                </c:marker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'Curva de abrams 2'!$D$5:$D$10</c15:sqref>
                        </c15:formulaRef>
                      </c:ext>
                    </c:extLst>
                    <c:numCache>
                      <c:formatCode>0.000</c:formatCode>
                      <c:ptCount val="6"/>
                      <c:pt idx="0">
                        <c:v>1</c:v>
                      </c:pt>
                      <c:pt idx="1">
                        <c:v>0.86399999999999999</c:v>
                      </c:pt>
                      <c:pt idx="2">
                        <c:v>0.76</c:v>
                      </c:pt>
                      <c:pt idx="3">
                        <c:v>0.63300000000000001</c:v>
                      </c:pt>
                      <c:pt idx="4">
                        <c:v>0.54300000000000004</c:v>
                      </c:pt>
                    </c:numCache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'Curva de abrams 2'!$F$5:$F$10</c15:sqref>
                        </c15:formulaRef>
                      </c:ext>
                    </c:extLst>
                    <c:numCache>
                      <c:formatCode>0.0</c:formatCode>
                      <c:ptCount val="6"/>
                      <c:pt idx="0">
                        <c:v>0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0</c:v>
                      </c:pt>
                    </c:numCache>
                  </c:numRef>
                </c:y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C-E891-46CF-9020-41CC0B4C3293}"/>
                  </c:ext>
                </c:extLst>
              </c15:ser>
            </c15:filteredScatterSeries>
          </c:ext>
        </c:extLst>
      </c:scatterChart>
      <c:valAx>
        <c:axId val="153426096"/>
        <c:scaling>
          <c:orientation val="minMax"/>
          <c:max val="1.2"/>
          <c:min val="0.45"/>
        </c:scaling>
        <c:delete val="0"/>
        <c:axPos val="b"/>
        <c:majorGridlines>
          <c:spPr>
            <a:ln w="9525" cap="flat" cmpd="sng" algn="ctr">
              <a:solidFill>
                <a:schemeClr val="dk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dk1">
                <a:lumMod val="15000"/>
                <a:lumOff val="85000"/>
                <a:alpha val="54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dk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53420112"/>
        <c:crosses val="autoZero"/>
        <c:crossBetween val="midCat"/>
        <c:majorUnit val="5.0000000000000024E-2"/>
        <c:minorUnit val="1.0000000000000005E-2"/>
      </c:valAx>
      <c:valAx>
        <c:axId val="153420112"/>
        <c:scaling>
          <c:orientation val="minMax"/>
          <c:max val="55"/>
        </c:scaling>
        <c:delete val="0"/>
        <c:axPos val="l"/>
        <c:majorGridlines>
          <c:spPr>
            <a:ln w="9525" cap="flat" cmpd="sng" algn="ctr">
              <a:solidFill>
                <a:schemeClr val="dk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dk1">
                <a:lumMod val="15000"/>
                <a:lumOff val="85000"/>
                <a:alpha val="54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dk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53426096"/>
        <c:crosses val="autoZero"/>
        <c:crossBetween val="midCat"/>
        <c:majorUnit val="5"/>
      </c:valAx>
      <c:spPr>
        <a:pattFill prst="ltDnDiag">
          <a:fgClr>
            <a:schemeClr val="dk1">
              <a:lumMod val="15000"/>
              <a:lumOff val="85000"/>
            </a:schemeClr>
          </a:fgClr>
          <a:bgClr>
            <a:schemeClr val="lt1"/>
          </a:bgClr>
        </a:pattFill>
        <a:ln>
          <a:noFill/>
        </a:ln>
        <a:effectLst/>
      </c:spPr>
    </c:plotArea>
    <c:plotVisOnly val="1"/>
    <c:dispBlanksAs val="gap"/>
    <c:showDLblsOverMax val="0"/>
  </c:chart>
  <c:spPr>
    <a:solidFill>
      <a:schemeClr val="lt1"/>
    </a:soli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41" footer="0.31496062000000041"/>
    <c:pageSetup paperSize="9" orientation="landscape"/>
  </c:printSettings>
</c:chartSpace>
</file>

<file path=xl/charts/colors1.xml><?xml version="1.0" encoding="utf-8"?>
<cs:colorStyle xmlns:cs="http://schemas.microsoft.com/office/drawing/2012/chartStyle" xmlns:a="http://schemas.openxmlformats.org/drawingml/2006/main" meth="withinLinear" id="14">
  <a:schemeClr val="accent1"/>
</cs:colorStyle>
</file>

<file path=xl/charts/colors2.xml><?xml version="1.0" encoding="utf-8"?>
<cs:colorStyle xmlns:cs="http://schemas.microsoft.com/office/drawing/2012/chartStyle" xmlns:a="http://schemas.openxmlformats.org/drawingml/2006/main" meth="withinLinear" id="14">
  <a:schemeClr val="accent1"/>
</cs:colorStyle>
</file>

<file path=xl/charts/style1.xml><?xml version="1.0" encoding="utf-8"?>
<cs:chartStyle xmlns:cs="http://schemas.microsoft.com/office/drawing/2012/chartStyle" xmlns:a="http://schemas.openxmlformats.org/drawingml/2006/main" id="250">
  <cs:axisTitle>
    <cs:lnRef idx="0"/>
    <cs:fillRef idx="0"/>
    <cs:effectRef idx="0"/>
    <cs:fontRef idx="minor">
      <a:schemeClr val="dk1">
        <a:lumMod val="65000"/>
        <a:lumOff val="3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  <a:alpha val="54000"/>
          </a:schemeClr>
        </a:solidFill>
        <a:round/>
      </a:ln>
    </cs:spPr>
    <cs:defRPr sz="900" kern="1200" cap="none" spc="0" normalizeH="0" baseline="0"/>
  </cs:categoryAxis>
  <cs:chartArea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>
            <a:alpha val="50000"/>
          </a:schemeClr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solidFill>
        <a:schemeClr val="lt1"/>
      </a:solidFill>
      <a:ln w="15875">
        <a:solidFill>
          <a:schemeClr val="phClr"/>
        </a:solidFill>
        <a:round/>
      </a:ln>
    </cs:spPr>
  </cs:dataPointMarker>
  <cs:dataPointMarkerLayout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8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  <cs:spPr>
      <a:pattFill prst="ltDnDiag">
        <a:fgClr>
          <a:schemeClr val="dk1">
            <a:lumMod val="15000"/>
            <a:lumOff val="85000"/>
          </a:schemeClr>
        </a:fgClr>
        <a:bgClr>
          <a:schemeClr val="lt1"/>
        </a:bgClr>
      </a:pattFill>
    </cs:spPr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dk1"/>
    </cs:fontRef>
    <cs:spPr>
      <a:pattFill prst="ltDnDiag">
        <a:fgClr>
          <a:schemeClr val="dk1">
            <a:lumMod val="15000"/>
            <a:lumOff val="85000"/>
          </a:schemeClr>
        </a:fgClr>
        <a:bgClr>
          <a:schemeClr val="lt1"/>
        </a:bgClr>
      </a:pattFill>
    </cs:spPr>
  </cs:plotArea>
  <cs:plotArea3D>
    <cs:lnRef idx="0"/>
    <cs:fillRef idx="0"/>
    <cs:effectRef idx="0"/>
    <cs:fontRef idx="minor">
      <a:schemeClr val="dk1"/>
    </cs:fontRef>
    <cs:spPr>
      <a:solidFill>
        <a:schemeClr val="lt1"/>
      </a:solidFill>
    </cs:spPr>
  </cs:plotArea3D>
  <cs:seriesAxis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ajor">
      <a:schemeClr val="dk1">
        <a:lumMod val="50000"/>
        <a:lumOff val="50000"/>
      </a:schemeClr>
    </cs:fontRef>
    <cs:defRPr sz="1600" b="1" kern="1200" cap="none" spc="0" normalizeH="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</cs:upBar>
  <cs:valueAxis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  <a:alpha val="54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dk1"/>
    </cs:fontRef>
    <cs:spPr>
      <a:pattFill prst="ltDnDiag">
        <a:fgClr>
          <a:schemeClr val="dk1">
            <a:lumMod val="15000"/>
            <a:lumOff val="85000"/>
          </a:schemeClr>
        </a:fgClr>
        <a:bgClr>
          <a:schemeClr val="lt1"/>
        </a:bgClr>
      </a:pattFill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50">
  <cs:axisTitle>
    <cs:lnRef idx="0"/>
    <cs:fillRef idx="0"/>
    <cs:effectRef idx="0"/>
    <cs:fontRef idx="minor">
      <a:schemeClr val="dk1">
        <a:lumMod val="65000"/>
        <a:lumOff val="3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  <a:alpha val="54000"/>
          </a:schemeClr>
        </a:solidFill>
        <a:round/>
      </a:ln>
    </cs:spPr>
    <cs:defRPr sz="900" kern="1200" cap="none" spc="0" normalizeH="0" baseline="0"/>
  </cs:categoryAxis>
  <cs:chartArea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>
            <a:alpha val="50000"/>
          </a:schemeClr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solidFill>
        <a:schemeClr val="lt1"/>
      </a:solidFill>
      <a:ln w="15875">
        <a:solidFill>
          <a:schemeClr val="phClr"/>
        </a:solidFill>
        <a:round/>
      </a:ln>
    </cs:spPr>
  </cs:dataPointMarker>
  <cs:dataPointMarkerLayout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8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  <cs:spPr>
      <a:pattFill prst="ltDnDiag">
        <a:fgClr>
          <a:schemeClr val="dk1">
            <a:lumMod val="15000"/>
            <a:lumOff val="85000"/>
          </a:schemeClr>
        </a:fgClr>
        <a:bgClr>
          <a:schemeClr val="lt1"/>
        </a:bgClr>
      </a:pattFill>
    </cs:spPr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dk1"/>
    </cs:fontRef>
    <cs:spPr>
      <a:pattFill prst="ltDnDiag">
        <a:fgClr>
          <a:schemeClr val="dk1">
            <a:lumMod val="15000"/>
            <a:lumOff val="85000"/>
          </a:schemeClr>
        </a:fgClr>
        <a:bgClr>
          <a:schemeClr val="lt1"/>
        </a:bgClr>
      </a:pattFill>
    </cs:spPr>
  </cs:plotArea>
  <cs:plotArea3D>
    <cs:lnRef idx="0"/>
    <cs:fillRef idx="0"/>
    <cs:effectRef idx="0"/>
    <cs:fontRef idx="minor">
      <a:schemeClr val="dk1"/>
    </cs:fontRef>
    <cs:spPr>
      <a:solidFill>
        <a:schemeClr val="lt1"/>
      </a:solidFill>
    </cs:spPr>
  </cs:plotArea3D>
  <cs:seriesAxis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ajor">
      <a:schemeClr val="dk1">
        <a:lumMod val="50000"/>
        <a:lumOff val="50000"/>
      </a:schemeClr>
    </cs:fontRef>
    <cs:defRPr sz="1600" b="1" kern="1200" cap="none" spc="0" normalizeH="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</cs:upBar>
  <cs:valueAxis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  <a:alpha val="54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dk1"/>
    </cs:fontRef>
    <cs:spPr>
      <a:pattFill prst="ltDnDiag">
        <a:fgClr>
          <a:schemeClr val="dk1">
            <a:lumMod val="15000"/>
            <a:lumOff val="85000"/>
          </a:schemeClr>
        </a:fgClr>
        <a:bgClr>
          <a:schemeClr val="lt1"/>
        </a:bgClr>
      </a:pattFill>
    </cs:spPr>
  </cs:wall>
</cs:chartStyle>
</file>

<file path=xl/ctrlProps/ctrlProp1.xml><?xml version="1.0" encoding="utf-8"?>
<formControlPr xmlns="http://schemas.microsoft.com/office/spreadsheetml/2009/9/main" objectType="Button" lockText="1"/>
</file>

<file path=xl/ctrlProps/ctrlProp2.xml><?xml version="1.0" encoding="utf-8"?>
<formControlPr xmlns="http://schemas.microsoft.com/office/spreadsheetml/2009/9/main" objectType="Button" lockText="1"/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absolute">
    <xdr:from>
      <xdr:col>2</xdr:col>
      <xdr:colOff>26091</xdr:colOff>
      <xdr:row>11</xdr:row>
      <xdr:rowOff>94635</xdr:rowOff>
    </xdr:from>
    <xdr:to>
      <xdr:col>6</xdr:col>
      <xdr:colOff>928894</xdr:colOff>
      <xdr:row>21</xdr:row>
      <xdr:rowOff>76200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mc:AlternateContent xmlns:mc="http://schemas.openxmlformats.org/markup-compatibility/2006">
    <mc:Choice xmlns:a14="http://schemas.microsoft.com/office/drawing/2010/main" Requires="a14">
      <xdr:twoCellAnchor>
        <xdr:from>
          <xdr:col>19</xdr:col>
          <xdr:colOff>600075</xdr:colOff>
          <xdr:row>4</xdr:row>
          <xdr:rowOff>66675</xdr:rowOff>
        </xdr:from>
        <xdr:to>
          <xdr:col>22</xdr:col>
          <xdr:colOff>523875</xdr:colOff>
          <xdr:row>5</xdr:row>
          <xdr:rowOff>152400</xdr:rowOff>
        </xdr:to>
        <xdr:sp macro="" textlink="">
          <xdr:nvSpPr>
            <xdr:cNvPr id="1025" name="Button 1" hidden="1">
              <a:extLst>
                <a:ext uri="{63B3BB69-23CF-44E3-9099-C40C66FF867C}">
                  <a14:compatExt spid="_x0000_s1025"/>
                </a:ext>
                <a:ext uri="{FF2B5EF4-FFF2-40B4-BE49-F238E27FC236}">
                  <a16:creationId xmlns:a16="http://schemas.microsoft.com/office/drawing/2014/main" id="{00000000-0008-0000-0100-000001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7432" rIns="27432" bIns="27432" anchor="ctr" upright="1"/>
            <a:lstStyle/>
            <a:p>
              <a:pPr algn="ctr" rtl="0">
                <a:defRPr sz="1000"/>
              </a:pPr>
              <a:r>
                <a:rPr lang="pt-BR" sz="1100" b="0" i="0" u="none" strike="noStrike" baseline="0">
                  <a:solidFill>
                    <a:srgbClr val="000000"/>
                  </a:solidFill>
                  <a:latin typeface="Calibri"/>
                  <a:cs typeface="Calibri"/>
                </a:rPr>
                <a:t>VOLTAR</a:t>
              </a:r>
            </a:p>
          </xdr:txBody>
        </xdr:sp>
        <xdr:clientData fPrintsWithSheet="0"/>
      </xdr:twoCellAnchor>
    </mc:Choice>
    <mc:Fallback/>
  </mc:AlternateContent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absolute">
    <xdr:from>
      <xdr:col>2</xdr:col>
      <xdr:colOff>16566</xdr:colOff>
      <xdr:row>10</xdr:row>
      <xdr:rowOff>56535</xdr:rowOff>
    </xdr:from>
    <xdr:to>
      <xdr:col>6</xdr:col>
      <xdr:colOff>919369</xdr:colOff>
      <xdr:row>20</xdr:row>
      <xdr:rowOff>38100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mc:AlternateContent xmlns:mc="http://schemas.openxmlformats.org/markup-compatibility/2006">
    <mc:Choice xmlns:a14="http://schemas.microsoft.com/office/drawing/2010/main" Requires="a14">
      <xdr:twoCellAnchor>
        <xdr:from>
          <xdr:col>19</xdr:col>
          <xdr:colOff>600075</xdr:colOff>
          <xdr:row>3</xdr:row>
          <xdr:rowOff>66675</xdr:rowOff>
        </xdr:from>
        <xdr:to>
          <xdr:col>22</xdr:col>
          <xdr:colOff>523875</xdr:colOff>
          <xdr:row>4</xdr:row>
          <xdr:rowOff>152400</xdr:rowOff>
        </xdr:to>
        <xdr:sp macro="" textlink="">
          <xdr:nvSpPr>
            <xdr:cNvPr id="2049" name="Button 1" hidden="1">
              <a:extLst>
                <a:ext uri="{63B3BB69-23CF-44E3-9099-C40C66FF867C}">
                  <a14:compatExt spid="_x0000_s2049"/>
                </a:ext>
                <a:ext uri="{FF2B5EF4-FFF2-40B4-BE49-F238E27FC236}">
                  <a16:creationId xmlns:a16="http://schemas.microsoft.com/office/drawing/2014/main" id="{00000000-0008-0000-0000-000001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7432" rIns="27432" bIns="27432" anchor="ctr" upright="1"/>
            <a:lstStyle/>
            <a:p>
              <a:pPr algn="ctr" rtl="0">
                <a:defRPr sz="1000"/>
              </a:pPr>
              <a:r>
                <a:rPr lang="pt-BR" sz="1100" b="0" i="0" u="none" strike="noStrike" baseline="0">
                  <a:solidFill>
                    <a:srgbClr val="000000"/>
                  </a:solidFill>
                  <a:latin typeface="Calibri"/>
                  <a:cs typeface="Calibri"/>
                </a:rPr>
                <a:t>VOLTAR</a:t>
              </a:r>
            </a:p>
          </xdr:txBody>
        </xdr:sp>
        <xdr:clientData fPrintsWithSheet="0"/>
      </xdr:twoCellAnchor>
    </mc:Choice>
    <mc:Fallback/>
  </mc:AlternateContent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92.168.0.36\laboratorio\Users\FranciscoCarlos\Dropbox\A=Topmix\Modelos\curva%20de%20abrams%20modelo%20novo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Users\claudio.ferreira\Desktop\REGIONAL%20MG-DF\BETIM\ADICON%202%20-%20BETIM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omparativo varejo"/>
      <sheetName val="comparativo linha"/>
      <sheetName val="curva"/>
      <sheetName val="comparativo"/>
      <sheetName val="binder"/>
      <sheetName val="aj agua e ac"/>
      <sheetName val="ajuste do consumo por ac"/>
    </sheetNames>
    <sheetDataSet>
      <sheetData sheetId="0">
        <row r="2">
          <cell r="A2">
            <v>7.0000000000000007E-2</v>
          </cell>
          <cell r="B2">
            <v>3</v>
          </cell>
          <cell r="C2">
            <v>1.03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rincipal"/>
      <sheetName val="Pend. e Lemb."/>
      <sheetName val="MCC (AGL.)"/>
      <sheetName val="MCC (A.M.)"/>
      <sheetName val="MCC (A.G.)"/>
      <sheetName val="MCC (AD.)"/>
      <sheetName val="B.D."/>
      <sheetName val="Traço Exp."/>
      <sheetName val="COTAÇÃO"/>
      <sheetName val="Traço Exp. - Impr."/>
      <sheetName val="COMPACIDADE"/>
      <sheetName val="Abrams"/>
      <sheetName val="tec-econ"/>
      <sheetName val="TABELA - R.T."/>
      <sheetName val="TABELA - PESAGEM"/>
      <sheetName val="Resultados"/>
      <sheetName val="Resultados (B.D.)"/>
      <sheetName val="Instruções"/>
      <sheetName val="Comparativo"/>
      <sheetName val="Resumo de Preços"/>
      <sheetName val="ADICON 2 - BETIM"/>
    </sheetNames>
    <definedNames>
      <definedName name="ABRAMS"/>
    </defined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>
        <row r="7">
          <cell r="AF7" t="str">
            <v>TX 1</v>
          </cell>
        </row>
      </sheetData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</sheetDataSet>
  </externalBook>
</externalLink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4" Type="http://schemas.openxmlformats.org/officeDocument/2006/relationships/ctrlProp" Target="../ctrlProps/ctrlProp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2.vml"/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Relationship Id="rId4" Type="http://schemas.openxmlformats.org/officeDocument/2006/relationships/ctrlProp" Target="../ctrlProps/ctrlProp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8EC72E-72C3-43B3-B2C9-0A721E318150}">
  <dimension ref="A1:Z41"/>
  <sheetViews>
    <sheetView showGridLines="0" zoomScaleNormal="100" workbookViewId="0">
      <selection activeCell="C33" sqref="C33:S33"/>
    </sheetView>
  </sheetViews>
  <sheetFormatPr defaultRowHeight="18" customHeight="1" x14ac:dyDescent="0.25"/>
  <cols>
    <col min="1" max="1" width="0.5703125" style="1" customWidth="1"/>
    <col min="2" max="2" width="1.85546875" style="1" customWidth="1"/>
    <col min="3" max="3" width="21.28515625" style="1" customWidth="1"/>
    <col min="4" max="4" width="10.42578125" style="1" customWidth="1"/>
    <col min="5" max="5" width="17.42578125" style="1" customWidth="1"/>
    <col min="6" max="6" width="18" style="1" customWidth="1"/>
    <col min="7" max="7" width="14.140625" style="1" customWidth="1"/>
    <col min="8" max="8" width="17.85546875" style="1" customWidth="1"/>
    <col min="9" max="9" width="17.7109375" style="1" customWidth="1"/>
    <col min="10" max="10" width="17.5703125" style="1" customWidth="1"/>
    <col min="11" max="11" width="18" style="1" customWidth="1"/>
    <col min="12" max="12" width="17.5703125" style="1" customWidth="1"/>
    <col min="13" max="13" width="17.85546875" style="1" customWidth="1"/>
    <col min="14" max="14" width="17.7109375" style="1" customWidth="1"/>
    <col min="15" max="15" width="18.28515625" style="1" customWidth="1"/>
    <col min="16" max="16" width="21.85546875" style="1" customWidth="1"/>
    <col min="17" max="17" width="9.85546875" style="1" hidden="1" customWidth="1"/>
    <col min="18" max="18" width="7.85546875" style="1" hidden="1" customWidth="1"/>
    <col min="19" max="19" width="7.140625" style="1" customWidth="1"/>
    <col min="20" max="20" width="9.140625" style="1"/>
    <col min="21" max="21" width="9.28515625" style="1" customWidth="1"/>
    <col min="22" max="22" width="9.42578125" style="1" customWidth="1"/>
    <col min="23" max="25" width="9.28515625" style="1" customWidth="1"/>
    <col min="26" max="16384" width="9.140625" style="1"/>
  </cols>
  <sheetData>
    <row r="1" spans="3:24" ht="12.75" customHeight="1" x14ac:dyDescent="0.25">
      <c r="C1" s="121"/>
      <c r="D1" s="121"/>
      <c r="E1" s="121"/>
      <c r="F1" s="121"/>
      <c r="G1" s="121"/>
      <c r="H1" s="121"/>
      <c r="I1" s="121"/>
      <c r="J1" s="121"/>
      <c r="K1" s="121"/>
      <c r="L1" s="121"/>
      <c r="M1" s="121"/>
    </row>
    <row r="2" spans="3:24" ht="18" customHeight="1" x14ac:dyDescent="0.25">
      <c r="C2" s="122"/>
      <c r="D2" s="122"/>
      <c r="E2" s="122"/>
      <c r="F2" s="122"/>
      <c r="G2" s="122"/>
      <c r="H2" s="122"/>
      <c r="I2" s="122"/>
      <c r="J2" s="122"/>
      <c r="K2" s="122"/>
      <c r="L2" s="122"/>
      <c r="M2" s="122"/>
    </row>
    <row r="3" spans="3:24" ht="18" customHeight="1" x14ac:dyDescent="0.25">
      <c r="D3" s="2"/>
      <c r="E3" s="2" t="s">
        <v>28</v>
      </c>
      <c r="F3" s="2"/>
      <c r="G3" s="2"/>
      <c r="H3" s="2"/>
      <c r="I3" s="2"/>
      <c r="J3" s="2"/>
      <c r="K3" s="2"/>
      <c r="L3" s="2"/>
      <c r="M3" s="2"/>
    </row>
    <row r="5" spans="3:24" ht="18" customHeight="1" x14ac:dyDescent="0.25">
      <c r="D5" s="3" t="s">
        <v>0</v>
      </c>
      <c r="E5" s="4" t="s">
        <v>1</v>
      </c>
      <c r="F5" s="5" t="s">
        <v>2</v>
      </c>
    </row>
    <row r="6" spans="3:24" ht="20.100000000000001" customHeight="1" x14ac:dyDescent="0.25">
      <c r="C6" s="6"/>
      <c r="D6" s="7">
        <f>'AJUSTE DE ÁGUA'!I5</f>
        <v>1</v>
      </c>
      <c r="E6" s="8">
        <f>'AJUSTE DE ÁGUA'!H5</f>
        <v>195</v>
      </c>
      <c r="F6" s="9">
        <f>'AJUSTE DE ÁGUA'!O5</f>
        <v>18.5</v>
      </c>
      <c r="H6" s="123" t="s">
        <v>3</v>
      </c>
      <c r="I6" s="123"/>
      <c r="J6" s="123"/>
      <c r="L6" s="10"/>
      <c r="M6" s="11"/>
      <c r="N6" s="12"/>
    </row>
    <row r="7" spans="3:24" ht="20.100000000000001" customHeight="1" x14ac:dyDescent="0.25">
      <c r="C7" s="124"/>
      <c r="D7" s="7">
        <f>'AJUSTE DE ÁGUA'!I6</f>
        <v>0.86399999999999999</v>
      </c>
      <c r="E7" s="8">
        <f>'AJUSTE DE ÁGUA'!H6</f>
        <v>190</v>
      </c>
      <c r="F7" s="9">
        <f>'AJUSTE DE ÁGUA'!O6</f>
        <v>24</v>
      </c>
      <c r="I7" s="10" t="str">
        <f>[2]Abrams!AF7</f>
        <v>TX 1</v>
      </c>
      <c r="J7" s="13"/>
      <c r="N7" s="12"/>
    </row>
    <row r="8" spans="3:24" ht="20.100000000000001" customHeight="1" x14ac:dyDescent="0.25">
      <c r="C8" s="124"/>
      <c r="D8" s="7">
        <f>'AJUSTE DE ÁGUA'!I7</f>
        <v>0.76</v>
      </c>
      <c r="E8" s="8">
        <f>'AJUSTE DE ÁGUA'!H7</f>
        <v>190</v>
      </c>
      <c r="F8" s="9">
        <f>'AJUSTE DE ÁGUA'!O7</f>
        <v>28.1</v>
      </c>
      <c r="H8" s="14" t="s">
        <v>4</v>
      </c>
      <c r="I8" s="15">
        <f xml:space="preserve"> 19.096</f>
        <v>19.096</v>
      </c>
      <c r="J8" s="16"/>
      <c r="N8" s="17"/>
      <c r="X8" s="12"/>
    </row>
    <row r="9" spans="3:24" ht="20.100000000000001" customHeight="1" x14ac:dyDescent="0.25">
      <c r="C9" s="124"/>
      <c r="D9" s="7">
        <f>'AJUSTE DE ÁGUA'!I8</f>
        <v>0.63300000000000001</v>
      </c>
      <c r="E9" s="8">
        <f>'AJUSTE DE ÁGUA'!H8</f>
        <v>190</v>
      </c>
      <c r="F9" s="9">
        <f>'AJUSTE DE ÁGUA'!O8</f>
        <v>36.1</v>
      </c>
      <c r="H9" s="14" t="s">
        <v>5</v>
      </c>
      <c r="I9" s="15">
        <v>-1.365</v>
      </c>
      <c r="J9" s="16"/>
      <c r="N9" s="18"/>
      <c r="X9" s="12"/>
    </row>
    <row r="10" spans="3:24" ht="12" customHeight="1" x14ac:dyDescent="0.25">
      <c r="D10" s="7">
        <f>'AJUSTE DE ÁGUA'!I9</f>
        <v>0.54300000000000004</v>
      </c>
      <c r="E10" s="8">
        <f>'AJUSTE DE ÁGUA'!H9</f>
        <v>190</v>
      </c>
      <c r="F10" s="9">
        <f>'AJUSTE DE ÁGUA'!O9</f>
        <v>43</v>
      </c>
      <c r="N10" s="18"/>
      <c r="X10" s="12"/>
    </row>
    <row r="11" spans="3:24" ht="9" customHeight="1" x14ac:dyDescent="0.25">
      <c r="C11" s="19"/>
      <c r="D11" s="7"/>
      <c r="E11" s="8"/>
      <c r="F11" s="9"/>
      <c r="X11" s="20"/>
    </row>
    <row r="12" spans="3:24" ht="18" customHeight="1" x14ac:dyDescent="0.25">
      <c r="C12" s="21"/>
      <c r="D12" s="7"/>
      <c r="E12" s="8"/>
      <c r="F12" s="9"/>
      <c r="X12" s="20"/>
    </row>
    <row r="13" spans="3:24" ht="25.5" customHeight="1" x14ac:dyDescent="0.25">
      <c r="C13" s="22"/>
      <c r="D13" s="7"/>
      <c r="E13" s="8"/>
      <c r="F13" s="9"/>
      <c r="U13" s="23" t="s">
        <v>6</v>
      </c>
      <c r="V13" s="23"/>
      <c r="W13" s="23"/>
    </row>
    <row r="14" spans="3:24" ht="28.5" customHeight="1" x14ac:dyDescent="0.25">
      <c r="C14" s="22"/>
      <c r="D14" s="7"/>
      <c r="E14" s="8"/>
      <c r="F14" s="9"/>
      <c r="W14" s="12"/>
    </row>
    <row r="15" spans="3:24" ht="6.75" customHeight="1" x14ac:dyDescent="0.25">
      <c r="C15" s="22"/>
      <c r="D15" s="7"/>
      <c r="E15" s="8"/>
      <c r="F15" s="9"/>
      <c r="W15" s="20"/>
    </row>
    <row r="16" spans="3:24" ht="8.25" customHeight="1" x14ac:dyDescent="0.25">
      <c r="C16" s="22"/>
      <c r="D16" s="7"/>
      <c r="E16" s="8"/>
      <c r="F16" s="9"/>
      <c r="W16" s="20"/>
    </row>
    <row r="17" spans="3:26" ht="24.75" customHeight="1" x14ac:dyDescent="0.25">
      <c r="C17" s="24"/>
      <c r="D17" s="7"/>
      <c r="E17" s="8"/>
      <c r="F17" s="9"/>
    </row>
    <row r="18" spans="3:26" ht="25.5" customHeight="1" x14ac:dyDescent="0.25">
      <c r="C18" s="25"/>
      <c r="D18" s="7"/>
      <c r="E18" s="8"/>
      <c r="F18" s="9"/>
    </row>
    <row r="19" spans="3:26" ht="18" customHeight="1" x14ac:dyDescent="0.25">
      <c r="C19" s="19"/>
      <c r="D19" s="7"/>
      <c r="E19" s="8"/>
      <c r="F19" s="9"/>
    </row>
    <row r="20" spans="3:26" ht="18" customHeight="1" x14ac:dyDescent="0.25">
      <c r="C20" s="26"/>
      <c r="D20" s="7"/>
      <c r="E20" s="8"/>
      <c r="F20" s="9"/>
    </row>
    <row r="21" spans="3:26" ht="24.75" customHeight="1" x14ac:dyDescent="0.25">
      <c r="C21" s="27"/>
      <c r="D21" s="7"/>
      <c r="E21" s="8"/>
      <c r="F21" s="9"/>
    </row>
    <row r="22" spans="3:26" ht="18" customHeight="1" x14ac:dyDescent="0.25">
      <c r="U22" s="28"/>
      <c r="V22" s="28"/>
      <c r="W22" s="28"/>
      <c r="X22" s="28"/>
    </row>
    <row r="23" spans="3:26" ht="18" customHeight="1" x14ac:dyDescent="0.25">
      <c r="C23" s="29" t="s">
        <v>7</v>
      </c>
      <c r="D23" s="30" t="s">
        <v>8</v>
      </c>
      <c r="E23" s="31" t="s">
        <v>9</v>
      </c>
      <c r="F23" s="31" t="s">
        <v>1</v>
      </c>
      <c r="G23" s="31" t="s">
        <v>10</v>
      </c>
      <c r="H23" s="120"/>
      <c r="I23" s="120"/>
      <c r="J23" s="120"/>
      <c r="K23" s="120"/>
      <c r="L23" s="120"/>
      <c r="M23" s="120"/>
      <c r="N23" s="120"/>
      <c r="O23" s="120"/>
      <c r="P23" s="120"/>
      <c r="Q23" s="120"/>
      <c r="R23" s="120"/>
      <c r="S23" s="33"/>
      <c r="T23" s="34"/>
    </row>
    <row r="24" spans="3:26" ht="18" customHeight="1" x14ac:dyDescent="0.25">
      <c r="C24" s="35">
        <v>15</v>
      </c>
      <c r="D24" s="36">
        <f>C24+2.55*1.65</f>
        <v>19.2075</v>
      </c>
      <c r="E24" s="37">
        <f>(D24/$I$8)^(1/$I$9)</f>
        <v>0.99574392628871666</v>
      </c>
      <c r="F24" s="38">
        <f>ROUNDDOWN(IF(E24&gt;$D$6,$E$6,IF(E24&gt;$D$7,$E$6-($E$6-$E$7)/($D$6-$D$7)*($D$6-E24),IF(E24&gt;$D$10,$E$7-($E$7-$E$10)/($D$7-$D$10)*($D$7-E24),IF(E24&gt;$D$11,$E$10-($E$10-$E$11)/($D$10-$D$11)*($D$10-E24),IF(E24&lt;$D$11,$E$11,""))))),0)</f>
        <v>194</v>
      </c>
      <c r="G24" s="39">
        <f>ROUNDUP(F24/E24,0)</f>
        <v>195</v>
      </c>
      <c r="H24" s="34"/>
      <c r="I24" s="40"/>
      <c r="J24" s="40"/>
      <c r="K24" s="34"/>
      <c r="L24" s="41"/>
      <c r="M24" s="41"/>
      <c r="N24" s="42"/>
      <c r="O24" s="42"/>
      <c r="P24" s="43"/>
      <c r="Q24" s="42"/>
      <c r="R24" s="43"/>
      <c r="S24" s="44"/>
      <c r="T24" s="34"/>
      <c r="U24" s="36"/>
      <c r="V24" s="45"/>
      <c r="W24" s="36"/>
      <c r="X24" s="45"/>
      <c r="Y24" s="46"/>
      <c r="Z24" s="45"/>
    </row>
    <row r="25" spans="3:26" ht="18" customHeight="1" x14ac:dyDescent="0.25">
      <c r="C25" s="35">
        <v>20</v>
      </c>
      <c r="D25" s="36">
        <f>C25+2.85*1.65</f>
        <v>24.702500000000001</v>
      </c>
      <c r="E25" s="47">
        <f t="shared" ref="E25:E29" si="0">(D25/$I$8)^(1/$I$9)</f>
        <v>0.82812583888610769</v>
      </c>
      <c r="F25" s="48">
        <f>ROUNDDOWN(IF(E25&gt;$D$6,$E$6,IF(E25&gt;$D$7,$E$6-($E$6-$E$7)/($D$6-$D$7)*($D$6-E25),IF(E25&gt;$D$10,$E$7-($E$7-$E$10)/($D$7-$D$10)*($D$7-E25),IF(E25&gt;$D$11,$E$10-($E$10-$E$11)/($D$10-$D$11)*($D$10-E25),IF(E25&lt;$D$11,$E$11,""))))),0)</f>
        <v>190</v>
      </c>
      <c r="G25" s="49">
        <f t="shared" ref="G25:G29" si="1">ROUNDUP(F25/E25,0)</f>
        <v>230</v>
      </c>
      <c r="H25" s="34"/>
      <c r="I25" s="40"/>
      <c r="J25" s="40"/>
      <c r="K25" s="34"/>
      <c r="L25" s="41"/>
      <c r="M25" s="41"/>
      <c r="N25" s="42"/>
      <c r="O25" s="42"/>
      <c r="P25" s="43"/>
      <c r="Q25" s="42"/>
      <c r="R25" s="43"/>
      <c r="S25" s="44"/>
      <c r="T25" s="34"/>
      <c r="U25" s="36"/>
      <c r="V25" s="45"/>
      <c r="W25" s="36"/>
      <c r="X25" s="45"/>
      <c r="Y25" s="46"/>
      <c r="Z25" s="45"/>
    </row>
    <row r="26" spans="3:26" ht="18" customHeight="1" x14ac:dyDescent="0.25">
      <c r="C26" s="35">
        <v>25</v>
      </c>
      <c r="D26" s="36">
        <f>C26+3.15*1.65</f>
        <v>30.197499999999998</v>
      </c>
      <c r="E26" s="47">
        <f t="shared" si="0"/>
        <v>0.71481147154044944</v>
      </c>
      <c r="F26" s="48">
        <f>ROUNDDOWN(IF(E26&gt;$D$6,$E$6,IF(E26&gt;$D$7,$E$6-($E$6-$E$7)/($D$6-$D$7)*($D$6-E26),IF(E26&gt;$D$10,$E$7-($E$7-$E$10)/($D$7-$D$10)*($D$7-E26),IF(E26&gt;$D$11,$E$10-($E$10-$E$11)/($D$10-$D$11)*($D$10-E26),IF(E26&lt;$D$11,$E$11,""))))),0)</f>
        <v>190</v>
      </c>
      <c r="G26" s="49">
        <f t="shared" si="1"/>
        <v>266</v>
      </c>
      <c r="H26" s="34"/>
      <c r="I26" s="40"/>
      <c r="J26" s="40"/>
      <c r="K26" s="34"/>
      <c r="L26" s="41"/>
      <c r="M26" s="41"/>
      <c r="N26" s="42"/>
      <c r="O26" s="42"/>
      <c r="P26" s="43"/>
      <c r="Q26" s="42"/>
      <c r="R26" s="43"/>
      <c r="S26" s="44"/>
      <c r="T26" s="34"/>
      <c r="U26" s="36"/>
      <c r="V26" s="45"/>
      <c r="W26" s="36"/>
      <c r="X26" s="45"/>
      <c r="Y26" s="46"/>
      <c r="Z26" s="45"/>
    </row>
    <row r="27" spans="3:26" ht="18" customHeight="1" x14ac:dyDescent="0.25">
      <c r="C27" s="35">
        <v>30</v>
      </c>
      <c r="D27" s="36">
        <f>C27+4*1.65</f>
        <v>36.6</v>
      </c>
      <c r="E27" s="47">
        <f t="shared" si="0"/>
        <v>0.62088612750391436</v>
      </c>
      <c r="F27" s="48">
        <f>ROUNDDOWN(IF(E27&gt;$D$6,$E$6,IF(E27&gt;$D$7,$E$6-($E$6-$E$7)/($D$6-$D$7)*($D$6-E27),IF(E27&gt;$D$10,$E$7-($E$7-$E$10)/($D$7-$D$10)*($D$7-E27),IF(E27&gt;$D$11,$E$10-($E$10-$E$11)/($D$10-$D$11)*($D$10-E27),IF(E27&lt;$D$11,$E$11,""))))),0)</f>
        <v>190</v>
      </c>
      <c r="G27" s="49">
        <f t="shared" si="1"/>
        <v>307</v>
      </c>
      <c r="H27" s="34"/>
      <c r="I27" s="40"/>
      <c r="J27" s="40"/>
      <c r="K27" s="34"/>
      <c r="L27" s="41"/>
      <c r="M27" s="41"/>
      <c r="N27" s="42"/>
      <c r="O27" s="42"/>
      <c r="P27" s="43"/>
      <c r="Q27" s="42"/>
      <c r="R27" s="43"/>
      <c r="S27" s="44"/>
      <c r="T27" s="34"/>
      <c r="U27" s="36"/>
      <c r="V27" s="45"/>
      <c r="W27" s="36"/>
      <c r="X27" s="45"/>
      <c r="Y27" s="46"/>
      <c r="Z27" s="45"/>
    </row>
    <row r="28" spans="3:26" ht="18" customHeight="1" x14ac:dyDescent="0.25">
      <c r="C28" s="35">
        <v>35</v>
      </c>
      <c r="D28" s="36">
        <f>C28+4*1.65</f>
        <v>41.6</v>
      </c>
      <c r="E28" s="47">
        <f t="shared" si="0"/>
        <v>0.56528880516435664</v>
      </c>
      <c r="F28" s="48">
        <f>ROUNDDOWN(IF(E28&gt;$D$6,$E$6,IF(E28&gt;$D$7,$E$6-($E$6-$E$7)/($D$6-$D$7)*($D$6-E28),IF(E28&gt;$D$10,$E$7-($E$7-$E$10)/($D$7-$D$10)*($D$7-E28),IF(E28&gt;$D$11,$E$10-($E$10-$E$11)/($D$10-$D$11)*($D$10-E28),IF(E28&lt;$D$11,$E$11,""))))),0)</f>
        <v>190</v>
      </c>
      <c r="G28" s="49">
        <f>ROUNDUP(F28/E28,0)</f>
        <v>337</v>
      </c>
      <c r="H28" s="34"/>
      <c r="I28" s="40"/>
      <c r="J28" s="50"/>
      <c r="K28" s="34"/>
      <c r="L28" s="41"/>
      <c r="M28" s="41"/>
      <c r="N28" s="42"/>
      <c r="O28" s="42"/>
      <c r="P28" s="43"/>
      <c r="Q28" s="42"/>
      <c r="R28" s="43"/>
      <c r="S28" s="44"/>
      <c r="T28" s="34"/>
      <c r="U28" s="36"/>
      <c r="V28" s="45"/>
      <c r="W28" s="36"/>
      <c r="X28" s="45"/>
      <c r="Y28" s="46"/>
      <c r="Z28" s="45"/>
    </row>
    <row r="29" spans="3:26" ht="18" customHeight="1" x14ac:dyDescent="0.25">
      <c r="C29" s="51">
        <v>40</v>
      </c>
      <c r="D29" s="52">
        <f>C29+5*1.65</f>
        <v>48.25</v>
      </c>
      <c r="E29" s="53">
        <f t="shared" si="0"/>
        <v>0.50709342183700878</v>
      </c>
      <c r="F29" s="54">
        <v>195</v>
      </c>
      <c r="G29" s="55">
        <f t="shared" si="1"/>
        <v>385</v>
      </c>
      <c r="H29" s="32"/>
      <c r="I29" s="40"/>
      <c r="J29" s="40"/>
      <c r="K29" s="32"/>
      <c r="L29" s="41"/>
      <c r="M29" s="41"/>
      <c r="N29" s="42"/>
      <c r="O29" s="42"/>
      <c r="P29" s="43"/>
      <c r="Q29" s="42"/>
      <c r="R29" s="43"/>
      <c r="S29" s="44"/>
      <c r="T29" s="34"/>
      <c r="U29" s="36"/>
      <c r="V29" s="45"/>
      <c r="W29" s="36"/>
      <c r="X29" s="45"/>
      <c r="Y29" s="46"/>
      <c r="Z29" s="45"/>
    </row>
    <row r="30" spans="3:26" ht="18" customHeight="1" x14ac:dyDescent="0.25">
      <c r="C30" s="23"/>
      <c r="D30" s="23"/>
      <c r="E30" s="23"/>
      <c r="F30" s="23"/>
      <c r="G30" s="23"/>
      <c r="H30" s="32"/>
      <c r="I30" s="32"/>
      <c r="J30" s="32"/>
      <c r="K30" s="32"/>
      <c r="L30" s="32">
        <f>J28/12</f>
        <v>0</v>
      </c>
      <c r="M30" s="32"/>
      <c r="N30" s="32"/>
      <c r="O30" s="32"/>
      <c r="P30" s="56"/>
      <c r="Q30" s="32"/>
      <c r="R30" s="56"/>
      <c r="S30" s="57"/>
      <c r="T30" s="34"/>
      <c r="V30" s="58"/>
      <c r="X30" s="58"/>
    </row>
    <row r="31" spans="3:26" ht="13.5" customHeight="1" x14ac:dyDescent="0.25">
      <c r="C31" s="23"/>
      <c r="D31" s="23"/>
      <c r="E31" s="23"/>
      <c r="F31" s="23"/>
      <c r="G31" s="23"/>
      <c r="H31" s="23"/>
      <c r="I31" s="23"/>
      <c r="J31" s="23"/>
      <c r="K31" s="23"/>
      <c r="L31" s="23"/>
      <c r="M31" s="23"/>
      <c r="N31" s="23"/>
      <c r="O31" s="23"/>
      <c r="P31" s="23"/>
      <c r="Q31" s="23"/>
      <c r="R31" s="23"/>
      <c r="S31" s="23"/>
      <c r="Y31" s="59"/>
      <c r="Z31" s="60"/>
    </row>
    <row r="32" spans="3:26" ht="13.5" customHeight="1" x14ac:dyDescent="0.25">
      <c r="C32" s="61"/>
      <c r="D32" s="61"/>
      <c r="E32" s="61"/>
      <c r="F32" s="61"/>
      <c r="G32" s="61"/>
      <c r="H32" s="61"/>
      <c r="I32" s="61"/>
      <c r="J32" s="62"/>
      <c r="K32" s="61"/>
      <c r="L32" s="61"/>
      <c r="M32" s="61"/>
      <c r="N32" s="61"/>
      <c r="O32" s="61"/>
      <c r="P32" s="61"/>
      <c r="Q32" s="61"/>
      <c r="R32" s="61"/>
      <c r="S32" s="61"/>
    </row>
    <row r="33" spans="1:19" ht="13.5" customHeight="1" x14ac:dyDescent="0.25">
      <c r="C33" s="117"/>
      <c r="D33" s="117"/>
      <c r="E33" s="117"/>
      <c r="F33" s="117"/>
      <c r="G33" s="117"/>
      <c r="H33" s="117"/>
      <c r="I33" s="117"/>
      <c r="J33" s="117"/>
      <c r="K33" s="117"/>
      <c r="L33" s="117"/>
      <c r="M33" s="117"/>
      <c r="N33" s="117"/>
      <c r="O33" s="117"/>
      <c r="P33" s="117"/>
      <c r="Q33" s="117"/>
      <c r="R33" s="117"/>
      <c r="S33" s="117"/>
    </row>
    <row r="34" spans="1:19" ht="13.5" customHeight="1" x14ac:dyDescent="0.25">
      <c r="A34" s="63"/>
      <c r="B34" s="64"/>
      <c r="C34" s="117"/>
      <c r="D34" s="117"/>
      <c r="E34" s="117"/>
      <c r="F34" s="117"/>
      <c r="G34" s="117"/>
      <c r="H34" s="117"/>
      <c r="I34" s="117"/>
      <c r="J34" s="117"/>
      <c r="K34" s="117"/>
      <c r="L34" s="117"/>
      <c r="M34" s="117"/>
      <c r="N34" s="117"/>
      <c r="O34" s="117"/>
      <c r="P34" s="117"/>
      <c r="Q34" s="117"/>
      <c r="R34" s="117"/>
      <c r="S34" s="117"/>
    </row>
    <row r="37" spans="1:19" ht="12.75" x14ac:dyDescent="0.25"/>
    <row r="38" spans="1:19" ht="12.75" x14ac:dyDescent="0.25"/>
    <row r="39" spans="1:19" ht="12.75" x14ac:dyDescent="0.25"/>
    <row r="40" spans="1:19" ht="12.75" x14ac:dyDescent="0.25"/>
    <row r="41" spans="1:19" ht="12.75" x14ac:dyDescent="0.25"/>
  </sheetData>
  <mergeCells count="8">
    <mergeCell ref="C33:S33"/>
    <mergeCell ref="C34:S34"/>
    <mergeCell ref="C1:M2"/>
    <mergeCell ref="H6:J6"/>
    <mergeCell ref="C7:C9"/>
    <mergeCell ref="H23:J23"/>
    <mergeCell ref="K23:M23"/>
    <mergeCell ref="N23:R23"/>
  </mergeCells>
  <conditionalFormatting sqref="P24:P30">
    <cfRule type="cellIs" dxfId="12" priority="4" operator="lessThan">
      <formula>0</formula>
    </cfRule>
    <cfRule type="cellIs" dxfId="11" priority="5" operator="lessThan">
      <formula>0</formula>
    </cfRule>
    <cfRule type="cellIs" dxfId="10" priority="6" operator="greaterThan">
      <formula>0</formula>
    </cfRule>
  </conditionalFormatting>
  <conditionalFormatting sqref="R24:R30">
    <cfRule type="cellIs" dxfId="9" priority="1" operator="lessThan">
      <formula>0</formula>
    </cfRule>
    <cfRule type="cellIs" dxfId="8" priority="2" operator="lessThan">
      <formula>0</formula>
    </cfRule>
    <cfRule type="cellIs" dxfId="7" priority="3" operator="greaterThan">
      <formula>0</formula>
    </cfRule>
  </conditionalFormatting>
  <pageMargins left="0.511811024" right="0.511811024" top="0.78740157499999996" bottom="0.78740157499999996" header="0.31496062000000002" footer="0.31496062000000002"/>
  <pageSetup paperSize="9" scale="88" orientation="landscape" r:id="rId1"/>
  <colBreaks count="1" manualBreakCount="1">
    <brk id="19" max="1048575" man="1"/>
  </colBreaks>
  <ignoredErrors>
    <ignoredError sqref="D6:F10" unlockedFormula="1"/>
  </ignoredErrors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1025" r:id="rId4" name="Button 1">
              <controlPr defaultSize="0" print="0" autoFill="0" autoPict="0" macro="[2]!ABRAMS">
                <anchor moveWithCells="1" sizeWithCells="1">
                  <from>
                    <xdr:col>19</xdr:col>
                    <xdr:colOff>600075</xdr:colOff>
                    <xdr:row>4</xdr:row>
                    <xdr:rowOff>66675</xdr:rowOff>
                  </from>
                  <to>
                    <xdr:col>22</xdr:col>
                    <xdr:colOff>523875</xdr:colOff>
                    <xdr:row>5</xdr:row>
                    <xdr:rowOff>152400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7E3F85-1FA9-42F9-A751-50A16CEAC135}">
  <dimension ref="A2:Z40"/>
  <sheetViews>
    <sheetView showGridLines="0" tabSelected="1" view="pageBreakPreview" zoomScale="115" zoomScaleNormal="100" zoomScaleSheetLayoutView="115" workbookViewId="0">
      <selection activeCell="I18" sqref="I18"/>
    </sheetView>
  </sheetViews>
  <sheetFormatPr defaultRowHeight="18" customHeight="1" x14ac:dyDescent="0.25"/>
  <cols>
    <col min="1" max="1" width="0.5703125" style="1" customWidth="1"/>
    <col min="2" max="2" width="1.85546875" style="1" customWidth="1"/>
    <col min="3" max="3" width="21.28515625" style="1" customWidth="1"/>
    <col min="4" max="4" width="10.42578125" style="1" customWidth="1"/>
    <col min="5" max="5" width="17.42578125" style="1" customWidth="1"/>
    <col min="6" max="6" width="18" style="1" customWidth="1"/>
    <col min="7" max="7" width="14.140625" style="1" customWidth="1"/>
    <col min="8" max="8" width="17.85546875" style="1" customWidth="1"/>
    <col min="9" max="9" width="17.7109375" style="1" customWidth="1"/>
    <col min="10" max="10" width="17.5703125" style="1" customWidth="1"/>
    <col min="11" max="11" width="18" style="1" customWidth="1"/>
    <col min="12" max="12" width="17.5703125" style="1" customWidth="1"/>
    <col min="13" max="13" width="17.85546875" style="1" customWidth="1"/>
    <col min="14" max="14" width="17.7109375" style="1" customWidth="1"/>
    <col min="15" max="15" width="18.28515625" style="1" customWidth="1"/>
    <col min="16" max="16" width="21.85546875" style="1" customWidth="1"/>
    <col min="17" max="17" width="9.85546875" style="1" hidden="1" customWidth="1"/>
    <col min="18" max="18" width="7.85546875" style="1" hidden="1" customWidth="1"/>
    <col min="19" max="19" width="7.140625" style="1" customWidth="1"/>
    <col min="20" max="20" width="9.140625" style="1"/>
    <col min="21" max="21" width="9.28515625" style="1" customWidth="1"/>
    <col min="22" max="22" width="9.42578125" style="1" customWidth="1"/>
    <col min="23" max="25" width="9.28515625" style="1" customWidth="1"/>
    <col min="26" max="16384" width="9.140625" style="1"/>
  </cols>
  <sheetData>
    <row r="2" spans="3:24" ht="18" customHeight="1" x14ac:dyDescent="0.25">
      <c r="D2" s="116"/>
      <c r="E2" s="116" t="s">
        <v>28</v>
      </c>
      <c r="F2" s="116"/>
      <c r="G2" s="116"/>
      <c r="H2" s="116"/>
      <c r="I2" s="116"/>
      <c r="J2" s="116"/>
      <c r="K2" s="116"/>
      <c r="L2" s="116"/>
      <c r="M2" s="116"/>
    </row>
    <row r="4" spans="3:24" ht="18" customHeight="1" x14ac:dyDescent="0.25">
      <c r="D4" s="65" t="s">
        <v>0</v>
      </c>
      <c r="E4" s="65" t="s">
        <v>1</v>
      </c>
      <c r="F4" s="5" t="s">
        <v>2</v>
      </c>
    </row>
    <row r="5" spans="3:24" ht="20.100000000000001" customHeight="1" x14ac:dyDescent="0.25">
      <c r="C5" s="66"/>
      <c r="D5" s="67">
        <f>'AJUSTE DE ÁGUA'!I10</f>
        <v>1</v>
      </c>
      <c r="E5" s="68">
        <f>'AJUSTE DE ÁGUA'!H10</f>
        <v>190</v>
      </c>
      <c r="F5" s="9">
        <f>'AJUSTE DE ÁGUA'!O10</f>
        <v>0</v>
      </c>
      <c r="H5" s="118" t="s">
        <v>11</v>
      </c>
      <c r="I5" s="118"/>
      <c r="J5" s="118"/>
      <c r="L5" s="23"/>
      <c r="M5" s="23"/>
      <c r="N5" s="23"/>
    </row>
    <row r="6" spans="3:24" ht="20.100000000000001" customHeight="1" x14ac:dyDescent="0.25">
      <c r="C6" s="119"/>
      <c r="D6" s="67">
        <f>'AJUSTE DE ÁGUA'!I11</f>
        <v>0.86399999999999999</v>
      </c>
      <c r="E6" s="68">
        <f>'AJUSTE DE ÁGUA'!H11</f>
        <v>190</v>
      </c>
      <c r="F6" s="9">
        <f>'AJUSTE DE ÁGUA'!O11</f>
        <v>0</v>
      </c>
      <c r="I6" s="17" t="str">
        <f>[2]Abrams!AF7</f>
        <v>TX 1</v>
      </c>
      <c r="J6" s="23"/>
      <c r="N6" s="23"/>
    </row>
    <row r="7" spans="3:24" ht="20.100000000000001" customHeight="1" x14ac:dyDescent="0.25">
      <c r="C7" s="119"/>
      <c r="D7" s="67">
        <f>'AJUSTE DE ÁGUA'!I12</f>
        <v>0.76</v>
      </c>
      <c r="E7" s="68">
        <f>'AJUSTE DE ÁGUA'!H12</f>
        <v>190</v>
      </c>
      <c r="F7" s="9">
        <f>'AJUSTE DE ÁGUA'!O12</f>
        <v>0</v>
      </c>
      <c r="H7" s="14" t="s">
        <v>4</v>
      </c>
      <c r="I7" s="18">
        <v>21.254000000000001</v>
      </c>
      <c r="J7" s="69"/>
      <c r="N7" s="23"/>
      <c r="X7" s="23"/>
    </row>
    <row r="8" spans="3:24" ht="20.100000000000001" customHeight="1" x14ac:dyDescent="0.25">
      <c r="C8" s="119"/>
      <c r="D8" s="67">
        <f>'AJUSTE DE ÁGUA'!I13</f>
        <v>0.63300000000000001</v>
      </c>
      <c r="E8" s="68">
        <f>'AJUSTE DE ÁGUA'!H13</f>
        <v>190</v>
      </c>
      <c r="F8" s="9">
        <f>'AJUSTE DE ÁGUA'!O13</f>
        <v>0</v>
      </c>
      <c r="H8" s="14" t="s">
        <v>5</v>
      </c>
      <c r="I8" s="18">
        <v>-1.121</v>
      </c>
      <c r="J8" s="69"/>
      <c r="N8" s="69"/>
      <c r="X8" s="23"/>
    </row>
    <row r="9" spans="3:24" ht="12" customHeight="1" x14ac:dyDescent="0.25">
      <c r="D9" s="67">
        <f>'AJUSTE DE ÁGUA'!I14</f>
        <v>0.54300000000000004</v>
      </c>
      <c r="E9" s="68">
        <f>'AJUSTE DE ÁGUA'!H14</f>
        <v>195</v>
      </c>
      <c r="F9" s="9">
        <f>'AJUSTE DE ÁGUA'!O14</f>
        <v>0</v>
      </c>
      <c r="N9" s="69"/>
      <c r="X9" s="23"/>
    </row>
    <row r="10" spans="3:24" ht="9" customHeight="1" x14ac:dyDescent="0.25">
      <c r="C10" s="70"/>
      <c r="D10" s="67"/>
      <c r="E10" s="68"/>
      <c r="F10" s="9"/>
      <c r="X10" s="69"/>
    </row>
    <row r="11" spans="3:24" ht="18" customHeight="1" x14ac:dyDescent="0.25">
      <c r="C11" s="66"/>
      <c r="D11" s="67"/>
      <c r="E11" s="68"/>
      <c r="F11" s="9"/>
      <c r="X11" s="69"/>
    </row>
    <row r="12" spans="3:24" ht="25.5" customHeight="1" x14ac:dyDescent="0.25">
      <c r="C12" s="71"/>
      <c r="D12" s="67"/>
      <c r="E12" s="68"/>
      <c r="F12" s="9"/>
      <c r="U12" s="23" t="s">
        <v>6</v>
      </c>
      <c r="V12" s="23"/>
      <c r="W12" s="23"/>
    </row>
    <row r="13" spans="3:24" ht="28.5" customHeight="1" x14ac:dyDescent="0.25">
      <c r="C13" s="71"/>
      <c r="D13" s="67"/>
      <c r="E13" s="68"/>
      <c r="F13" s="9"/>
      <c r="W13" s="23"/>
    </row>
    <row r="14" spans="3:24" ht="6.75" customHeight="1" x14ac:dyDescent="0.25">
      <c r="C14" s="71"/>
      <c r="D14" s="67"/>
      <c r="E14" s="68"/>
      <c r="F14" s="9"/>
      <c r="W14" s="69"/>
    </row>
    <row r="15" spans="3:24" ht="8.25" customHeight="1" x14ac:dyDescent="0.25">
      <c r="C15" s="71"/>
      <c r="D15" s="67"/>
      <c r="E15" s="68"/>
      <c r="F15" s="9"/>
      <c r="W15" s="69"/>
    </row>
    <row r="16" spans="3:24" ht="24.75" customHeight="1" x14ac:dyDescent="0.25">
      <c r="C16" s="72"/>
      <c r="D16" s="67"/>
      <c r="E16" s="68"/>
      <c r="F16" s="9"/>
    </row>
    <row r="17" spans="3:26" ht="25.5" customHeight="1" x14ac:dyDescent="0.25">
      <c r="C17" s="71"/>
      <c r="D17" s="67"/>
      <c r="E17" s="68"/>
      <c r="F17" s="9"/>
    </row>
    <row r="18" spans="3:26" ht="18" customHeight="1" x14ac:dyDescent="0.25">
      <c r="C18" s="70"/>
      <c r="D18" s="67"/>
      <c r="E18" s="68"/>
      <c r="F18" s="9"/>
    </row>
    <row r="19" spans="3:26" ht="18" customHeight="1" x14ac:dyDescent="0.25">
      <c r="C19" s="66"/>
      <c r="D19" s="67"/>
      <c r="E19" s="68"/>
      <c r="F19" s="9"/>
    </row>
    <row r="20" spans="3:26" ht="24.75" customHeight="1" x14ac:dyDescent="0.25">
      <c r="C20" s="71"/>
      <c r="D20" s="67"/>
      <c r="E20" s="68"/>
      <c r="F20" s="9"/>
    </row>
    <row r="21" spans="3:26" ht="18" customHeight="1" x14ac:dyDescent="0.25">
      <c r="U21" s="28"/>
      <c r="V21" s="28"/>
      <c r="W21" s="28"/>
      <c r="X21" s="28"/>
    </row>
    <row r="22" spans="3:26" ht="18" customHeight="1" x14ac:dyDescent="0.25">
      <c r="C22" s="29" t="s">
        <v>7</v>
      </c>
      <c r="D22" s="30" t="s">
        <v>8</v>
      </c>
      <c r="E22" s="31" t="s">
        <v>9</v>
      </c>
      <c r="F22" s="31" t="s">
        <v>1</v>
      </c>
      <c r="G22" s="31" t="s">
        <v>10</v>
      </c>
      <c r="H22" s="120"/>
      <c r="I22" s="120"/>
      <c r="J22" s="120"/>
      <c r="K22" s="120"/>
      <c r="L22" s="120"/>
      <c r="M22" s="120"/>
      <c r="N22" s="120"/>
      <c r="O22" s="120"/>
      <c r="P22" s="120"/>
      <c r="Q22" s="120"/>
      <c r="R22" s="120"/>
      <c r="S22" s="33"/>
      <c r="T22" s="34"/>
    </row>
    <row r="23" spans="3:26" ht="18" customHeight="1" x14ac:dyDescent="0.25">
      <c r="C23" s="35">
        <v>15</v>
      </c>
      <c r="D23" s="36">
        <f>C23+2.5*1.65</f>
        <v>19.125</v>
      </c>
      <c r="E23" s="37">
        <f>(D23/$I$7)^(1/$I$8)</f>
        <v>1.0987309946794144</v>
      </c>
      <c r="F23" s="73">
        <f>ROUNDDOWN(IF(E23&gt;$D$5,$E$5,IF(E23&gt;$D$6,$E$5-($E$5-$E$6)/($D$5-$D$6)*($D$5-E23),IF(E23&gt;$D$9,$E$6-($E$6-$E$9)/($D$6-$D$9)*($D$6-E23),IF(E23&gt;$D$10,$E$9-($E$9-$E$10)/($D$9-$D$10)*($D$9-E23),IF(E23&lt;$D$10,$E$10,""))))),0)</f>
        <v>190</v>
      </c>
      <c r="G23" s="73">
        <f>ROUNDUP(F23/E23,0)</f>
        <v>173</v>
      </c>
      <c r="H23" s="34"/>
      <c r="I23" s="32"/>
      <c r="J23" s="32"/>
      <c r="K23" s="34"/>
      <c r="L23" s="32"/>
      <c r="M23" s="32"/>
      <c r="N23" s="42"/>
      <c r="O23" s="42"/>
      <c r="P23" s="43"/>
      <c r="Q23" s="42"/>
      <c r="R23" s="43"/>
      <c r="S23" s="74"/>
      <c r="T23" s="34"/>
      <c r="U23" s="36"/>
      <c r="V23" s="45"/>
      <c r="W23" s="36"/>
      <c r="X23" s="45"/>
      <c r="Y23" s="46"/>
      <c r="Z23" s="45"/>
    </row>
    <row r="24" spans="3:26" ht="18" customHeight="1" x14ac:dyDescent="0.25">
      <c r="C24" s="35">
        <v>20</v>
      </c>
      <c r="D24" s="36">
        <f>C24+3*1.65</f>
        <v>24.95</v>
      </c>
      <c r="E24" s="47">
        <f t="shared" ref="E24:E28" si="0">(D24/$I$7)^(1/$I$8)</f>
        <v>0.86673419080544434</v>
      </c>
      <c r="F24" s="75">
        <f>ROUNDDOWN(IF(E24&gt;$D$5,$E$5,IF(E24&gt;$D$6,$E$5-($E$5-$E$6)/($D$5-$D$6)*($D$5-E24),IF(E24&gt;$D$9,$E$6-($E$6-$E$9)/($D$6-$D$9)*($D$6-E24),IF(E24&gt;$D$10,$E$9-($E$9-$E$10)/($D$9-$D$10)*($D$9-E24),IF(E24&lt;$D$10,$E$10,""))))),0)</f>
        <v>190</v>
      </c>
      <c r="G24" s="75">
        <f t="shared" ref="G24:G28" si="1">ROUNDUP(F24/E24,0)</f>
        <v>220</v>
      </c>
      <c r="H24" s="34"/>
      <c r="I24" s="32"/>
      <c r="J24" s="32"/>
      <c r="K24" s="34"/>
      <c r="L24" s="32"/>
      <c r="M24" s="32"/>
      <c r="N24" s="42"/>
      <c r="O24" s="42"/>
      <c r="P24" s="43"/>
      <c r="Q24" s="42"/>
      <c r="R24" s="43"/>
      <c r="S24" s="74"/>
      <c r="T24" s="34"/>
      <c r="U24" s="36"/>
      <c r="V24" s="45"/>
      <c r="W24" s="36"/>
      <c r="X24" s="45"/>
      <c r="Y24" s="46"/>
      <c r="Z24" s="45"/>
    </row>
    <row r="25" spans="3:26" ht="18" customHeight="1" x14ac:dyDescent="0.25">
      <c r="C25" s="35">
        <v>25</v>
      </c>
      <c r="D25" s="36">
        <f>C25+4*1.65</f>
        <v>31.6</v>
      </c>
      <c r="E25" s="47">
        <f t="shared" si="0"/>
        <v>0.70201397387408515</v>
      </c>
      <c r="F25" s="75">
        <f>ROUNDDOWN(IF(E25&gt;$D$5,$E$5,IF(E25&gt;$D$6,$E$5-($E$5-$E$6)/($D$5-$D$6)*($D$5-E25),IF(E25&gt;$D$9,$E$6-($E$6-$E$9)/($D$6-$D$9)*($D$6-E25),IF(E25&gt;$D$10,$E$9-($E$9-$E$10)/($D$9-$D$10)*($D$9-E25),IF(E25&lt;$D$10,$E$10,""))))),0)</f>
        <v>192</v>
      </c>
      <c r="G25" s="75">
        <f t="shared" si="1"/>
        <v>274</v>
      </c>
      <c r="H25" s="34"/>
      <c r="I25" s="32"/>
      <c r="J25" s="32"/>
      <c r="K25" s="34"/>
      <c r="L25" s="32"/>
      <c r="M25" s="32"/>
      <c r="N25" s="42"/>
      <c r="O25" s="42"/>
      <c r="P25" s="43"/>
      <c r="Q25" s="42"/>
      <c r="R25" s="43"/>
      <c r="S25" s="74"/>
      <c r="T25" s="34"/>
      <c r="U25" s="36"/>
      <c r="V25" s="45"/>
      <c r="W25" s="36"/>
      <c r="X25" s="45"/>
      <c r="Y25" s="46"/>
      <c r="Z25" s="45"/>
    </row>
    <row r="26" spans="3:26" ht="18" customHeight="1" x14ac:dyDescent="0.25">
      <c r="C26" s="35">
        <v>30</v>
      </c>
      <c r="D26" s="36">
        <f>C26+4*1.65</f>
        <v>36.6</v>
      </c>
      <c r="E26" s="47">
        <f t="shared" si="0"/>
        <v>0.61579709640680202</v>
      </c>
      <c r="F26" s="75">
        <f>ROUNDDOWN(IF(E26&gt;$D$5,$E$5,IF(E26&gt;$D$6,$E$5-($E$5-$E$6)/($D$5-$D$6)*($D$5-E26),IF(E26&gt;$D$9,$E$6-($E$6-$E$9)/($D$6-$D$9)*($D$6-E26),IF(E26&gt;$D$10,$E$9-($E$9-$E$10)/($D$9-$D$10)*($D$9-E26),IF(E26&lt;$D$10,$E$10,""))))),0)</f>
        <v>193</v>
      </c>
      <c r="G26" s="75">
        <f t="shared" si="1"/>
        <v>314</v>
      </c>
      <c r="H26" s="34"/>
      <c r="I26" s="32"/>
      <c r="J26" s="32"/>
      <c r="K26" s="34"/>
      <c r="L26" s="32"/>
      <c r="M26" s="32"/>
      <c r="N26" s="42"/>
      <c r="O26" s="42"/>
      <c r="P26" s="43"/>
      <c r="Q26" s="42"/>
      <c r="R26" s="43"/>
      <c r="S26" s="74"/>
      <c r="T26" s="34"/>
      <c r="U26" s="36"/>
      <c r="V26" s="45"/>
      <c r="W26" s="36"/>
      <c r="X26" s="45"/>
      <c r="Y26" s="46"/>
      <c r="Z26" s="45"/>
    </row>
    <row r="27" spans="3:26" ht="18" customHeight="1" x14ac:dyDescent="0.25">
      <c r="C27" s="35">
        <v>35</v>
      </c>
      <c r="D27" s="36">
        <f>C27+4*1.65</f>
        <v>41.6</v>
      </c>
      <c r="E27" s="47">
        <f t="shared" si="0"/>
        <v>0.54932345207839817</v>
      </c>
      <c r="F27" s="75">
        <f>ROUNDDOWN(IF(E27&gt;$D$5,$E$5,IF(E27&gt;$D$6,$E$5-($E$5-$E$6)/($D$5-$D$6)*($D$5-E27),IF(E27&gt;$D$7,$E$6-($E$6-$E$7)/($D$6-$D$8)*($D$6-E27),IF(E27&gt;$D$10,$E$8-($E$9-$E$10)/($D$9-$D$10)*($D$9-E27),IF(E27&lt;$D$10,$E$10,""))))),0)</f>
        <v>192</v>
      </c>
      <c r="G27" s="75">
        <f>ROUNDUP(F27/E27,0)</f>
        <v>350</v>
      </c>
      <c r="H27" s="34"/>
      <c r="I27" s="32"/>
      <c r="J27" s="76"/>
      <c r="K27" s="34"/>
      <c r="L27" s="32"/>
      <c r="M27" s="32"/>
      <c r="N27" s="42"/>
      <c r="O27" s="42"/>
      <c r="P27" s="43"/>
      <c r="Q27" s="42"/>
      <c r="R27" s="43"/>
      <c r="S27" s="74"/>
      <c r="T27" s="34"/>
      <c r="U27" s="36"/>
      <c r="V27" s="45"/>
      <c r="W27" s="36"/>
      <c r="X27" s="45"/>
      <c r="Y27" s="46"/>
      <c r="Z27" s="45"/>
    </row>
    <row r="28" spans="3:26" ht="18" customHeight="1" x14ac:dyDescent="0.25">
      <c r="C28" s="51">
        <v>40</v>
      </c>
      <c r="D28" s="52">
        <f>C28+4.5*1.65</f>
        <v>47.424999999999997</v>
      </c>
      <c r="E28" s="53">
        <f t="shared" si="0"/>
        <v>0.48871693925238452</v>
      </c>
      <c r="F28" s="77">
        <v>190</v>
      </c>
      <c r="G28" s="77">
        <f t="shared" si="1"/>
        <v>389</v>
      </c>
      <c r="H28" s="32"/>
      <c r="I28" s="32"/>
      <c r="J28" s="32"/>
      <c r="K28" s="32"/>
      <c r="L28" s="32"/>
      <c r="M28" s="32"/>
      <c r="N28" s="42"/>
      <c r="O28" s="42"/>
      <c r="P28" s="43"/>
      <c r="Q28" s="42"/>
      <c r="R28" s="43"/>
      <c r="S28" s="74"/>
      <c r="T28" s="34"/>
      <c r="U28" s="36"/>
      <c r="V28" s="45"/>
      <c r="W28" s="36"/>
      <c r="X28" s="45"/>
      <c r="Y28" s="46"/>
      <c r="Z28" s="45"/>
    </row>
    <row r="29" spans="3:26" ht="18" customHeight="1" x14ac:dyDescent="0.25">
      <c r="C29" s="23"/>
      <c r="D29" s="23"/>
      <c r="E29" s="23"/>
      <c r="F29" s="23"/>
      <c r="G29" s="23"/>
      <c r="H29" s="32"/>
      <c r="I29" s="32"/>
      <c r="J29" s="32"/>
      <c r="K29" s="32"/>
      <c r="L29" s="32">
        <f>J27/12</f>
        <v>0</v>
      </c>
      <c r="M29" s="32"/>
      <c r="N29" s="32"/>
      <c r="O29" s="32"/>
      <c r="P29" s="56"/>
      <c r="Q29" s="32"/>
      <c r="R29" s="56"/>
      <c r="S29" s="57"/>
      <c r="T29" s="34"/>
      <c r="V29" s="58"/>
      <c r="X29" s="58"/>
    </row>
    <row r="30" spans="3:26" ht="13.5" customHeight="1" x14ac:dyDescent="0.25">
      <c r="C30" s="23"/>
      <c r="D30" s="23"/>
      <c r="E30" s="23"/>
      <c r="F30" s="23"/>
      <c r="G30" s="23"/>
      <c r="H30" s="23"/>
      <c r="I30" s="23"/>
      <c r="J30" s="23"/>
      <c r="K30" s="23"/>
      <c r="L30" s="23"/>
      <c r="M30" s="23"/>
      <c r="N30" s="23"/>
      <c r="O30" s="23"/>
      <c r="P30" s="23"/>
      <c r="Q30" s="23"/>
      <c r="R30" s="23"/>
      <c r="S30" s="23"/>
      <c r="Y30" s="28"/>
      <c r="Z30" s="78"/>
    </row>
    <row r="31" spans="3:26" ht="13.5" customHeight="1" x14ac:dyDescent="0.25">
      <c r="C31" s="61"/>
      <c r="D31" s="61"/>
      <c r="E31" s="61"/>
      <c r="F31" s="61"/>
      <c r="G31" s="61"/>
      <c r="H31" s="61"/>
      <c r="I31" s="61"/>
      <c r="J31" s="62"/>
      <c r="K31" s="61"/>
      <c r="L31" s="61"/>
      <c r="M31" s="61"/>
      <c r="N31" s="61"/>
      <c r="O31" s="61"/>
      <c r="P31" s="61"/>
      <c r="Q31" s="61"/>
      <c r="R31" s="61"/>
      <c r="S31" s="61"/>
    </row>
    <row r="32" spans="3:26" ht="13.5" customHeight="1" x14ac:dyDescent="0.25">
      <c r="C32" s="117"/>
      <c r="D32" s="117"/>
      <c r="E32" s="117"/>
      <c r="F32" s="117"/>
      <c r="G32" s="117"/>
      <c r="H32" s="117"/>
      <c r="I32" s="117"/>
      <c r="J32" s="117"/>
      <c r="K32" s="117"/>
      <c r="L32" s="117"/>
      <c r="M32" s="117"/>
      <c r="N32" s="117"/>
      <c r="O32" s="117"/>
      <c r="P32" s="117"/>
      <c r="Q32" s="117"/>
      <c r="R32" s="117"/>
      <c r="S32" s="117"/>
    </row>
    <row r="33" spans="1:19" ht="13.5" customHeight="1" x14ac:dyDescent="0.25">
      <c r="A33" s="63"/>
      <c r="B33" s="64"/>
      <c r="C33" s="117"/>
      <c r="D33" s="117"/>
      <c r="E33" s="117"/>
      <c r="F33" s="117"/>
      <c r="G33" s="117"/>
      <c r="H33" s="117"/>
      <c r="I33" s="117"/>
      <c r="J33" s="117"/>
      <c r="K33" s="117"/>
      <c r="L33" s="117"/>
      <c r="M33" s="117"/>
      <c r="N33" s="117"/>
      <c r="O33" s="117"/>
      <c r="P33" s="117"/>
      <c r="Q33" s="117"/>
      <c r="R33" s="117"/>
      <c r="S33" s="117"/>
    </row>
    <row r="36" spans="1:19" ht="12.75" x14ac:dyDescent="0.25"/>
    <row r="37" spans="1:19" ht="12.75" x14ac:dyDescent="0.25"/>
    <row r="38" spans="1:19" ht="12.75" x14ac:dyDescent="0.25"/>
    <row r="39" spans="1:19" ht="12.75" x14ac:dyDescent="0.25"/>
    <row r="40" spans="1:19" ht="12.75" x14ac:dyDescent="0.25"/>
  </sheetData>
  <mergeCells count="7">
    <mergeCell ref="C32:S32"/>
    <mergeCell ref="C33:S33"/>
    <mergeCell ref="H5:J5"/>
    <mergeCell ref="C6:C8"/>
    <mergeCell ref="H22:J22"/>
    <mergeCell ref="K22:M22"/>
    <mergeCell ref="N22:R22"/>
  </mergeCells>
  <conditionalFormatting sqref="P23:P29">
    <cfRule type="cellIs" dxfId="18" priority="4" operator="lessThan">
      <formula>0</formula>
    </cfRule>
    <cfRule type="cellIs" dxfId="17" priority="5" operator="lessThan">
      <formula>0</formula>
    </cfRule>
    <cfRule type="cellIs" dxfId="16" priority="6" operator="greaterThan">
      <formula>0</formula>
    </cfRule>
  </conditionalFormatting>
  <conditionalFormatting sqref="R23:R29">
    <cfRule type="cellIs" dxfId="15" priority="1" operator="lessThan">
      <formula>0</formula>
    </cfRule>
    <cfRule type="cellIs" dxfId="14" priority="2" operator="lessThan">
      <formula>0</formula>
    </cfRule>
    <cfRule type="cellIs" dxfId="13" priority="3" operator="greaterThan">
      <formula>0</formula>
    </cfRule>
  </conditionalFormatting>
  <pageMargins left="0.511811024" right="0.511811024" top="0.78740157499999996" bottom="0.78740157499999996" header="0.31496062000000002" footer="0.31496062000000002"/>
  <pageSetup paperSize="9" scale="88" orientation="landscape" r:id="rId1"/>
  <colBreaks count="1" manualBreakCount="1">
    <brk id="19" max="1048575" man="1"/>
  </colBreaks>
  <ignoredErrors>
    <ignoredError sqref="D5:F9" unlockedFormula="1"/>
  </ignoredErrors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2049" r:id="rId4" name="Button 1">
              <controlPr defaultSize="0" print="0" autoFill="0" autoPict="0" macro="[2]!ABRAMS">
                <anchor moveWithCells="1" sizeWithCells="1">
                  <from>
                    <xdr:col>19</xdr:col>
                    <xdr:colOff>600075</xdr:colOff>
                    <xdr:row>3</xdr:row>
                    <xdr:rowOff>66675</xdr:rowOff>
                  </from>
                  <to>
                    <xdr:col>22</xdr:col>
                    <xdr:colOff>523875</xdr:colOff>
                    <xdr:row>4</xdr:row>
                    <xdr:rowOff>152400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8BFA5B-411E-4578-A801-A97457D81802}">
  <dimension ref="A2:Z14"/>
  <sheetViews>
    <sheetView showGridLines="0" zoomScaleNormal="100" workbookViewId="0">
      <pane ySplit="4" topLeftCell="A5" activePane="bottomLeft" state="frozen"/>
      <selection pane="bottomLeft" activeCell="N20" sqref="N20"/>
    </sheetView>
  </sheetViews>
  <sheetFormatPr defaultRowHeight="15" x14ac:dyDescent="0.25"/>
  <cols>
    <col min="4" max="4" width="53.42578125" customWidth="1"/>
    <col min="8" max="9" width="9.140625" customWidth="1"/>
    <col min="11" max="12" width="9.140625" customWidth="1"/>
    <col min="17" max="26" width="9.140625" style="79"/>
  </cols>
  <sheetData>
    <row r="2" spans="1:18" ht="24" customHeight="1" x14ac:dyDescent="0.25">
      <c r="A2" s="125" t="s">
        <v>13</v>
      </c>
      <c r="B2" s="125"/>
      <c r="C2" s="125"/>
      <c r="D2" s="125"/>
      <c r="E2" s="125"/>
      <c r="F2" s="125"/>
      <c r="G2" s="125"/>
      <c r="H2" s="125"/>
      <c r="I2" s="125"/>
      <c r="J2" s="125"/>
      <c r="K2" s="125"/>
      <c r="L2" s="125"/>
      <c r="M2" s="125"/>
      <c r="N2" s="125"/>
      <c r="O2" s="125"/>
    </row>
    <row r="3" spans="1:18" ht="24" customHeight="1" x14ac:dyDescent="0.25">
      <c r="E3" s="126"/>
      <c r="F3" s="126"/>
      <c r="G3" s="126"/>
      <c r="H3" s="126"/>
      <c r="I3" s="126"/>
      <c r="J3" s="126"/>
      <c r="K3" s="126"/>
      <c r="L3" s="126"/>
      <c r="M3" s="126"/>
    </row>
    <row r="4" spans="1:18" ht="45.75" thickBot="1" x14ac:dyDescent="0.3">
      <c r="A4" s="83" t="s">
        <v>14</v>
      </c>
      <c r="B4" s="83" t="s">
        <v>15</v>
      </c>
      <c r="C4" s="83" t="s">
        <v>7</v>
      </c>
      <c r="D4" s="84" t="s">
        <v>16</v>
      </c>
      <c r="E4" s="83" t="s">
        <v>17</v>
      </c>
      <c r="F4" s="83" t="s">
        <v>18</v>
      </c>
      <c r="G4" s="85" t="s">
        <v>19</v>
      </c>
      <c r="H4" s="83" t="s">
        <v>20</v>
      </c>
      <c r="I4" s="83" t="s">
        <v>21</v>
      </c>
      <c r="J4" s="83" t="s">
        <v>22</v>
      </c>
      <c r="K4" s="83" t="s">
        <v>23</v>
      </c>
      <c r="L4" s="83" t="s">
        <v>24</v>
      </c>
      <c r="M4" s="84" t="s">
        <v>25</v>
      </c>
      <c r="N4" s="83" t="s">
        <v>26</v>
      </c>
      <c r="O4" s="83" t="s">
        <v>27</v>
      </c>
      <c r="P4" s="80"/>
    </row>
    <row r="5" spans="1:18" x14ac:dyDescent="0.25">
      <c r="A5" s="86">
        <v>2.5000000000000001E-2</v>
      </c>
      <c r="B5" s="87">
        <v>22</v>
      </c>
      <c r="C5" s="88">
        <v>20</v>
      </c>
      <c r="D5" s="89" t="s">
        <v>29</v>
      </c>
      <c r="E5" s="87">
        <v>190</v>
      </c>
      <c r="F5" s="90">
        <v>190</v>
      </c>
      <c r="G5" s="91">
        <v>0</v>
      </c>
      <c r="H5" s="92">
        <v>195</v>
      </c>
      <c r="I5" s="93">
        <f>ROUND((B5/1000*E5+G5)/(B5/1000*F5),3)</f>
        <v>1</v>
      </c>
      <c r="J5" s="92">
        <f>F5</f>
        <v>190</v>
      </c>
      <c r="K5" s="90">
        <v>120</v>
      </c>
      <c r="L5" s="88">
        <v>3.4</v>
      </c>
      <c r="M5" s="94">
        <v>9.4</v>
      </c>
      <c r="N5" s="88">
        <v>13.7</v>
      </c>
      <c r="O5" s="95">
        <v>18.5</v>
      </c>
    </row>
    <row r="6" spans="1:18" x14ac:dyDescent="0.25">
      <c r="A6" s="96">
        <v>2.5000000000000001E-2</v>
      </c>
      <c r="B6" s="97">
        <v>22</v>
      </c>
      <c r="C6" s="98">
        <v>25</v>
      </c>
      <c r="D6" s="99" t="s">
        <v>29</v>
      </c>
      <c r="E6" s="97">
        <v>190</v>
      </c>
      <c r="F6" s="100">
        <v>220</v>
      </c>
      <c r="G6" s="101">
        <v>0</v>
      </c>
      <c r="H6" s="102">
        <f t="shared" ref="H6:H14" si="0">ROUND(1000*(B6/1000*E6+G6)/(B6+G6/(1-A6)),0)</f>
        <v>190</v>
      </c>
      <c r="I6" s="103">
        <f t="shared" ref="I6:I8" si="1">ROUND((B6/1000*E6+G6)/(B6/1000*F6),3)</f>
        <v>0.86399999999999999</v>
      </c>
      <c r="J6" s="102">
        <f t="shared" ref="J6" si="2">F6</f>
        <v>220</v>
      </c>
      <c r="K6" s="97">
        <v>125</v>
      </c>
      <c r="L6" s="97">
        <v>4</v>
      </c>
      <c r="M6" s="104">
        <v>11.47</v>
      </c>
      <c r="N6" s="98">
        <v>16.3</v>
      </c>
      <c r="O6" s="105">
        <v>24</v>
      </c>
    </row>
    <row r="7" spans="1:18" x14ac:dyDescent="0.25">
      <c r="A7" s="96">
        <v>2.5000000000000001E-2</v>
      </c>
      <c r="B7" s="97">
        <v>22</v>
      </c>
      <c r="C7" s="98">
        <v>30</v>
      </c>
      <c r="D7" s="99" t="s">
        <v>29</v>
      </c>
      <c r="E7" s="97">
        <v>190</v>
      </c>
      <c r="F7" s="100">
        <v>250</v>
      </c>
      <c r="G7" s="101">
        <v>0</v>
      </c>
      <c r="H7" s="102">
        <f t="shared" si="0"/>
        <v>190</v>
      </c>
      <c r="I7" s="103">
        <f t="shared" si="1"/>
        <v>0.76</v>
      </c>
      <c r="J7" s="102">
        <f>F7</f>
        <v>250</v>
      </c>
      <c r="K7" s="97">
        <v>125</v>
      </c>
      <c r="L7" s="97">
        <v>4.3</v>
      </c>
      <c r="M7" s="104">
        <v>13.2</v>
      </c>
      <c r="N7" s="98">
        <v>18.600000000000001</v>
      </c>
      <c r="O7" s="105">
        <v>28.1</v>
      </c>
    </row>
    <row r="8" spans="1:18" x14ac:dyDescent="0.25">
      <c r="A8" s="96">
        <v>2.5000000000000001E-2</v>
      </c>
      <c r="B8" s="97">
        <v>22</v>
      </c>
      <c r="C8" s="98">
        <v>35</v>
      </c>
      <c r="D8" s="99" t="s">
        <v>29</v>
      </c>
      <c r="E8" s="97">
        <v>190</v>
      </c>
      <c r="F8" s="100">
        <v>300</v>
      </c>
      <c r="G8" s="101">
        <v>0</v>
      </c>
      <c r="H8" s="102">
        <f t="shared" si="0"/>
        <v>190</v>
      </c>
      <c r="I8" s="103">
        <f t="shared" si="1"/>
        <v>0.63300000000000001</v>
      </c>
      <c r="J8" s="102">
        <f>F8</f>
        <v>300</v>
      </c>
      <c r="K8" s="97">
        <v>120</v>
      </c>
      <c r="L8" s="97">
        <v>8.1</v>
      </c>
      <c r="M8" s="104">
        <v>22.6</v>
      </c>
      <c r="N8" s="98">
        <v>26</v>
      </c>
      <c r="O8" s="105">
        <v>36.1</v>
      </c>
    </row>
    <row r="9" spans="1:18" ht="15.75" thickBot="1" x14ac:dyDescent="0.3">
      <c r="A9" s="106">
        <v>2.5000000000000001E-2</v>
      </c>
      <c r="B9" s="107">
        <v>22</v>
      </c>
      <c r="C9" s="108">
        <v>40</v>
      </c>
      <c r="D9" s="109" t="s">
        <v>29</v>
      </c>
      <c r="E9" s="107">
        <v>190</v>
      </c>
      <c r="F9" s="110">
        <v>350</v>
      </c>
      <c r="G9" s="111">
        <v>0</v>
      </c>
      <c r="H9" s="112">
        <f t="shared" si="0"/>
        <v>190</v>
      </c>
      <c r="I9" s="113">
        <f>ROUND((B9/1000*E9+G9)/(B9/1000*F9),3)</f>
        <v>0.54300000000000004</v>
      </c>
      <c r="J9" s="112">
        <f t="shared" ref="J9:J11" si="3">F9</f>
        <v>350</v>
      </c>
      <c r="K9" s="107">
        <v>125</v>
      </c>
      <c r="L9" s="107">
        <v>6.48</v>
      </c>
      <c r="M9" s="114" t="s">
        <v>12</v>
      </c>
      <c r="N9" s="108">
        <v>29.4</v>
      </c>
      <c r="O9" s="115">
        <v>43</v>
      </c>
      <c r="P9" s="81"/>
      <c r="Q9" s="82"/>
      <c r="R9" s="82"/>
    </row>
    <row r="10" spans="1:18" x14ac:dyDescent="0.25">
      <c r="A10" s="86">
        <v>2.5000000000000001E-2</v>
      </c>
      <c r="B10" s="87">
        <v>22</v>
      </c>
      <c r="C10" s="88">
        <v>20</v>
      </c>
      <c r="D10" s="89" t="s">
        <v>30</v>
      </c>
      <c r="E10" s="87">
        <v>190</v>
      </c>
      <c r="F10" s="90">
        <v>190</v>
      </c>
      <c r="G10" s="91">
        <v>0</v>
      </c>
      <c r="H10" s="92">
        <f t="shared" si="0"/>
        <v>190</v>
      </c>
      <c r="I10" s="93">
        <f>ROUND((B10/1000*E10+G10)/(B10/1000*F10),3)</f>
        <v>1</v>
      </c>
      <c r="J10" s="92">
        <f t="shared" si="3"/>
        <v>190</v>
      </c>
      <c r="K10" s="90">
        <v>130</v>
      </c>
      <c r="L10" s="88"/>
      <c r="M10" s="94"/>
      <c r="N10" s="88"/>
      <c r="O10" s="95"/>
    </row>
    <row r="11" spans="1:18" x14ac:dyDescent="0.25">
      <c r="A11" s="96">
        <v>2.5000000000000001E-2</v>
      </c>
      <c r="B11" s="97">
        <v>22</v>
      </c>
      <c r="C11" s="98">
        <v>25</v>
      </c>
      <c r="D11" s="99" t="s">
        <v>30</v>
      </c>
      <c r="E11" s="97">
        <v>190</v>
      </c>
      <c r="F11" s="100">
        <v>220</v>
      </c>
      <c r="G11" s="101">
        <v>0</v>
      </c>
      <c r="H11" s="102">
        <f t="shared" si="0"/>
        <v>190</v>
      </c>
      <c r="I11" s="103">
        <f t="shared" ref="I11:I13" si="4">ROUND((B11/1000*E11+G11)/(B11/1000*F11),3)</f>
        <v>0.86399999999999999</v>
      </c>
      <c r="J11" s="102">
        <f t="shared" si="3"/>
        <v>220</v>
      </c>
      <c r="K11" s="97">
        <v>130</v>
      </c>
      <c r="L11" s="97"/>
      <c r="M11" s="104"/>
      <c r="N11" s="98"/>
      <c r="O11" s="105"/>
    </row>
    <row r="12" spans="1:18" x14ac:dyDescent="0.25">
      <c r="A12" s="96">
        <v>2.5000000000000001E-2</v>
      </c>
      <c r="B12" s="97">
        <v>22</v>
      </c>
      <c r="C12" s="98">
        <v>30</v>
      </c>
      <c r="D12" s="99" t="s">
        <v>30</v>
      </c>
      <c r="E12" s="97">
        <v>190</v>
      </c>
      <c r="F12" s="100">
        <v>250</v>
      </c>
      <c r="G12" s="101">
        <v>0</v>
      </c>
      <c r="H12" s="102">
        <f t="shared" si="0"/>
        <v>190</v>
      </c>
      <c r="I12" s="103">
        <f t="shared" si="4"/>
        <v>0.76</v>
      </c>
      <c r="J12" s="102">
        <f>F12</f>
        <v>250</v>
      </c>
      <c r="K12" s="97">
        <v>130</v>
      </c>
      <c r="L12" s="97"/>
      <c r="M12" s="104"/>
      <c r="N12" s="98"/>
      <c r="O12" s="105"/>
    </row>
    <row r="13" spans="1:18" x14ac:dyDescent="0.25">
      <c r="A13" s="96">
        <v>2.5000000000000001E-2</v>
      </c>
      <c r="B13" s="97">
        <v>22</v>
      </c>
      <c r="C13" s="98">
        <v>30</v>
      </c>
      <c r="D13" s="99" t="s">
        <v>30</v>
      </c>
      <c r="E13" s="97">
        <v>190</v>
      </c>
      <c r="F13" s="100">
        <v>300</v>
      </c>
      <c r="G13" s="101">
        <v>0</v>
      </c>
      <c r="H13" s="102">
        <f t="shared" si="0"/>
        <v>190</v>
      </c>
      <c r="I13" s="103">
        <f t="shared" si="4"/>
        <v>0.63300000000000001</v>
      </c>
      <c r="J13" s="102">
        <f>F13</f>
        <v>300</v>
      </c>
      <c r="K13" s="97">
        <v>140</v>
      </c>
      <c r="L13" s="97"/>
      <c r="M13" s="104"/>
      <c r="N13" s="98"/>
      <c r="O13" s="105"/>
    </row>
    <row r="14" spans="1:18" ht="15.75" thickBot="1" x14ac:dyDescent="0.3">
      <c r="A14" s="106">
        <v>2.5000000000000001E-2</v>
      </c>
      <c r="B14" s="107">
        <v>22</v>
      </c>
      <c r="C14" s="108">
        <v>40</v>
      </c>
      <c r="D14" s="109" t="s">
        <v>30</v>
      </c>
      <c r="E14" s="107">
        <v>190</v>
      </c>
      <c r="F14" s="110">
        <v>350</v>
      </c>
      <c r="G14" s="111">
        <v>0</v>
      </c>
      <c r="H14" s="112">
        <v>195</v>
      </c>
      <c r="I14" s="113">
        <f>ROUND((B14/1000*E14+G14)/(B14/1000*F14),3)</f>
        <v>0.54300000000000004</v>
      </c>
      <c r="J14" s="112">
        <f t="shared" ref="J14" si="5">F14</f>
        <v>350</v>
      </c>
      <c r="K14" s="107">
        <v>140</v>
      </c>
      <c r="L14" s="107"/>
      <c r="M14" s="114"/>
      <c r="N14" s="108"/>
      <c r="O14" s="115"/>
      <c r="P14" s="81"/>
      <c r="Q14" s="82"/>
      <c r="R14" s="82"/>
    </row>
  </sheetData>
  <mergeCells count="2">
    <mergeCell ref="A2:O2"/>
    <mergeCell ref="E3:M3"/>
  </mergeCells>
  <conditionalFormatting sqref="H5:H6">
    <cfRule type="expression" dxfId="6" priority="4">
      <formula>#REF!&lt;&gt;H5</formula>
    </cfRule>
    <cfRule type="expression" dxfId="5" priority="5">
      <formula>#REF!=H5</formula>
    </cfRule>
  </conditionalFormatting>
  <conditionalFormatting sqref="H7:H14">
    <cfRule type="expression" dxfId="4" priority="1">
      <formula>#REF!&lt;&gt;H7</formula>
    </cfRule>
  </conditionalFormatting>
  <conditionalFormatting sqref="H7:J14">
    <cfRule type="expression" dxfId="3" priority="2">
      <formula>#REF!=H7</formula>
    </cfRule>
  </conditionalFormatting>
  <conditionalFormatting sqref="I5:J6">
    <cfRule type="expression" dxfId="2" priority="6">
      <formula>#REF!=I5</formula>
    </cfRule>
    <cfRule type="expression" dxfId="1" priority="7">
      <formula>#REF!&lt;&gt;I5</formula>
    </cfRule>
  </conditionalFormatting>
  <conditionalFormatting sqref="I7:J14">
    <cfRule type="expression" dxfId="0" priority="3">
      <formula>#REF!&lt;&gt;I7</formula>
    </cfRule>
  </conditionalFormatting>
  <pageMargins left="0.511811024" right="0.511811024" top="0.78740157499999996" bottom="0.78740157499999996" header="0.31496062000000002" footer="0.31496062000000002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3</vt:i4>
      </vt:variant>
      <vt:variant>
        <vt:lpstr>Intervalos Nomeados</vt:lpstr>
      </vt:variant>
      <vt:variant>
        <vt:i4>2</vt:i4>
      </vt:variant>
    </vt:vector>
  </HeadingPairs>
  <TitlesOfParts>
    <vt:vector size="5" baseType="lpstr">
      <vt:lpstr>Curva de abrams 1</vt:lpstr>
      <vt:lpstr>Curva de abrams 2</vt:lpstr>
      <vt:lpstr>AJUSTE DE ÁGUA</vt:lpstr>
      <vt:lpstr>'Curva de abrams 1'!Area_de_impressao</vt:lpstr>
      <vt:lpstr>'Curva de abrams 2'!Area_de_impressao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Edson Da Silva Oliveira</dc:creator>
  <cp:lastModifiedBy>Edson Da Silva Oliveira</cp:lastModifiedBy>
  <cp:lastPrinted>2024-08-02T17:26:00Z</cp:lastPrinted>
  <dcterms:created xsi:type="dcterms:W3CDTF">2024-05-14T18:04:03Z</dcterms:created>
  <dcterms:modified xsi:type="dcterms:W3CDTF">2024-10-10T18:59:47Z</dcterms:modified>
</cp:coreProperties>
</file>